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rlg\Documents\GitHub\Bunnywell_Portal\docs\"/>
    </mc:Choice>
  </mc:AlternateContent>
  <xr:revisionPtr revIDLastSave="0" documentId="13_ncr:1_{758C9BC0-5F0A-4F84-A437-9A8A37CE5A4F}" xr6:coauthVersionLast="47" xr6:coauthVersionMax="47" xr10:uidLastSave="{00000000-0000-0000-0000-000000000000}"/>
  <bookViews>
    <workbookView xWindow="-93" yWindow="-93" windowWidth="25786" windowHeight="13866" firstSheet="4" activeTab="9" xr2:uid="{00000000-000D-0000-FFFF-FFFF00000000}"/>
  </bookViews>
  <sheets>
    <sheet name="README" sheetId="1" r:id="rId1"/>
    <sheet name="Buildings" sheetId="2" r:id="rId2"/>
    <sheet name="Unit Types" sheetId="3" r:id="rId3"/>
    <sheet name="Unit Type Rooms" sheetId="4" r:id="rId4"/>
    <sheet name="Units" sheetId="5" r:id="rId5"/>
    <sheet name="Derived Unit Rooms" sheetId="6" r:id="rId6"/>
    <sheet name="Communal Areas" sheetId="7" r:id="rId7"/>
    <sheet name="Organisations" sheetId="8" r:id="rId8"/>
    <sheet name="Building Organisations" sheetId="9" r:id="rId9"/>
    <sheet name="Users Access" sheetId="10" r:id="rId10"/>
    <sheet name="Reference Values" sheetId="11" r:id="rId11"/>
  </sheets>
  <definedNames>
    <definedName name="_xlnm._FilterDatabase" localSheetId="4" hidden="1">Units!$A$3:$O$152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5" l="1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4" i="5"/>
</calcChain>
</file>

<file path=xl/sharedStrings.xml><?xml version="1.0" encoding="utf-8"?>
<sst xmlns="http://schemas.openxmlformats.org/spreadsheetml/2006/main" count="1624" uniqueCount="220">
  <si>
    <t>Bunnywell Database Cleanup Template</t>
  </si>
  <si>
    <t>Fill the sheets from left to right. Yellow headers are required. Unit rooms are now derived from editable Unit Types and Unit Type Rooms rules, with per-unit exceptions captured on the Units tab.</t>
  </si>
  <si>
    <t>Recommended process:</t>
  </si>
  <si>
    <t>1. Fill Buildings and stable building_code values.</t>
  </si>
  <si>
    <t>2. Maintain Unit Types and Unit Type Rooms if the default room logic changes.</t>
  </si>
  <si>
    <t>3. Fill Units, selecting unit_type and any exception flags such as ensuite, amenity, or MEP store.</t>
  </si>
  <si>
    <t>4. Add Communal Areas, Organisations, Building Organisations, and Users Access if those should be cleaned up.</t>
  </si>
  <si>
    <t>5. Use Derived Unit Rooms as a review sheet to see expected generated rooms.</t>
  </si>
  <si>
    <t>6. Send the completed workbook back for validation before database changes.</t>
  </si>
  <si>
    <t>7. Do not use this workbook directly against production until staging has been validated.</t>
  </si>
  <si>
    <t>One row per real building/block. building_code is the stable import key used by every other sheet.</t>
  </si>
  <si>
    <t>building_code</t>
  </si>
  <si>
    <t>building_name</t>
  </si>
  <si>
    <t>address_line_1</t>
  </si>
  <si>
    <t>address_line_2</t>
  </si>
  <si>
    <t>town</t>
  </si>
  <si>
    <t>postcode</t>
  </si>
  <si>
    <t>status</t>
  </si>
  <si>
    <t>practical_completion_date</t>
  </si>
  <si>
    <t>defects_liability_end_date</t>
  </si>
  <si>
    <t>notes</t>
  </si>
  <si>
    <t>FORUM</t>
  </si>
  <si>
    <t>Forum House</t>
  </si>
  <si>
    <t>active</t>
  </si>
  <si>
    <t>Editable unit type catalogue. Change or add rows here if the default room logic changes in future.</t>
  </si>
  <si>
    <t>unit_type</t>
  </si>
  <si>
    <t>description</t>
  </si>
  <si>
    <t>base_room_set</t>
  </si>
  <si>
    <t>Studio</t>
  </si>
  <si>
    <t>Studio apartment</t>
  </si>
  <si>
    <t>1-bed</t>
  </si>
  <si>
    <t>yes</t>
  </si>
  <si>
    <t>Same default rooms as 1-bed</t>
  </si>
  <si>
    <t>One bedroom apartment</t>
  </si>
  <si>
    <t>Default one bedroom rules</t>
  </si>
  <si>
    <t>1-bed + study</t>
  </si>
  <si>
    <t>One bedroom plus study</t>
  </si>
  <si>
    <t>Adds Utility by default</t>
  </si>
  <si>
    <t>2-bed</t>
  </si>
  <si>
    <t>Two bedroom apartment</t>
  </si>
  <si>
    <t>Bedroom becomes Bedroom 1 and Bedroom 2 is added</t>
  </si>
  <si>
    <t>Editable default room rules. One row per default room per base_room_set. Sort order controls generated room order.</t>
  </si>
  <si>
    <t>sort_order</t>
  </si>
  <si>
    <t>room_name</t>
  </si>
  <si>
    <t>area_type</t>
  </si>
  <si>
    <t>default_for_all_units</t>
  </si>
  <si>
    <t>Entrance / Hallway</t>
  </si>
  <si>
    <t>unit_room</t>
  </si>
  <si>
    <t>All standard unit types</t>
  </si>
  <si>
    <t>Kitchen</t>
  </si>
  <si>
    <t>Living Room</t>
  </si>
  <si>
    <t>Bathroom</t>
  </si>
  <si>
    <t>Bedroom</t>
  </si>
  <si>
    <t>Utility</t>
  </si>
  <si>
    <t>Extra room for 1-bed + study</t>
  </si>
  <si>
    <t>Bedroom 1</t>
  </si>
  <si>
    <t>Renamed from Bedroom</t>
  </si>
  <si>
    <t>Bedroom 2</t>
  </si>
  <si>
    <t>One row per unit/apartment. Select unit_type, then use exception columns for ensuite, amenity, and MEP store.</t>
  </si>
  <si>
    <t>unit_number</t>
  </si>
  <si>
    <t>floor</t>
  </si>
  <si>
    <t>size_sqm</t>
  </si>
  <si>
    <t>size_sqft</t>
  </si>
  <si>
    <t>sale_status</t>
  </si>
  <si>
    <t>completion_date</t>
  </si>
  <si>
    <t>handover_date</t>
  </si>
  <si>
    <t>parking_bays</t>
  </si>
  <si>
    <t>has_ensuite</t>
  </si>
  <si>
    <t>has_private_amenity</t>
  </si>
  <si>
    <t>private_amenity_name</t>
  </si>
  <si>
    <t>has_mep_store</t>
  </si>
  <si>
    <t>101</t>
  </si>
  <si>
    <t>First</t>
  </si>
  <si>
    <t>completed</t>
  </si>
  <si>
    <t>Balcony</t>
  </si>
  <si>
    <t>no</t>
  </si>
  <si>
    <t>102</t>
  </si>
  <si>
    <t>for_sale</t>
  </si>
  <si>
    <t>Ground</t>
  </si>
  <si>
    <t>reserved</t>
  </si>
  <si>
    <t>Review sheet showing expected generated rooms from the editable Unit Types, Unit Type Rooms, and Units exception columns. Use this as a review guide; the import script should implement these workbook rules.</t>
  </si>
  <si>
    <t>source</t>
  </si>
  <si>
    <t>default</t>
  </si>
  <si>
    <t>From 2-bed base_room_set</t>
  </si>
  <si>
    <t>exception</t>
  </si>
  <si>
    <t>Ensuite</t>
  </si>
  <si>
    <t>From Units has_ensuite</t>
  </si>
  <si>
    <t>From Units has_private_amenity/private_amenity_name</t>
  </si>
  <si>
    <t>From 1-bed base_room_set</t>
  </si>
  <si>
    <t>MEP Store</t>
  </si>
  <si>
    <t>From Units has_mep_store</t>
  </si>
  <si>
    <t>Building-level areas that are not inside a unit.</t>
  </si>
  <si>
    <t>area_name</t>
  </si>
  <si>
    <t>Contractors, developer representatives, and other project organisations.</t>
  </si>
  <si>
    <t>organisation_name</t>
  </si>
  <si>
    <t>organisation_type</t>
  </si>
  <si>
    <t>main_contact_name</t>
  </si>
  <si>
    <t>email</t>
  </si>
  <si>
    <t>phone</t>
  </si>
  <si>
    <t>contractor</t>
  </si>
  <si>
    <t>Sam Contractor</t>
  </si>
  <si>
    <t>developer_representative</t>
  </si>
  <si>
    <t>Links organisations to buildings.</t>
  </si>
  <si>
    <t>role_on_project</t>
  </si>
  <si>
    <t>Use unit_refs as BUILDING_CODE:UNIT_NUMBER. Multiple values can be comma separated.</t>
  </si>
  <si>
    <t>name</t>
  </si>
  <si>
    <t>role</t>
  </si>
  <si>
    <t>resident_type</t>
  </si>
  <si>
    <t>building_codes</t>
  </si>
  <si>
    <t>unit_refs</t>
  </si>
  <si>
    <t>admin</t>
  </si>
  <si>
    <t>Riley Resident</t>
  </si>
  <si>
    <t>resident</t>
  </si>
  <si>
    <t>leaseholder</t>
  </si>
  <si>
    <t>FORUM:101</t>
  </si>
  <si>
    <t>Allowed values used by dropdown columns.</t>
  </si>
  <si>
    <t>building_status</t>
  </si>
  <si>
    <t>yes_no</t>
  </si>
  <si>
    <t>inactive</t>
  </si>
  <si>
    <t>developer</t>
  </si>
  <si>
    <t>tenant</t>
  </si>
  <si>
    <t>archived</t>
  </si>
  <si>
    <t>exchanged</t>
  </si>
  <si>
    <t>letting_agent</t>
  </si>
  <si>
    <t>managing_agent</t>
  </si>
  <si>
    <t>handed_over</t>
  </si>
  <si>
    <t>TRINITY</t>
  </si>
  <si>
    <t>Trinity Point</t>
  </si>
  <si>
    <t>Abbey View</t>
  </si>
  <si>
    <t>Everard Close</t>
  </si>
  <si>
    <t>St Albans</t>
  </si>
  <si>
    <t>AL1 2PS</t>
  </si>
  <si>
    <t>New Road</t>
  </si>
  <si>
    <t>Gravesend</t>
  </si>
  <si>
    <t>DA11 0FD</t>
  </si>
  <si>
    <t>Store</t>
  </si>
  <si>
    <t>Lower Ground</t>
  </si>
  <si>
    <t>Second</t>
  </si>
  <si>
    <t>Third</t>
  </si>
  <si>
    <t>LG01</t>
  </si>
  <si>
    <t>LG02</t>
  </si>
  <si>
    <t>LG03</t>
  </si>
  <si>
    <t>LG04</t>
  </si>
  <si>
    <t>LG05</t>
  </si>
  <si>
    <t>LG06</t>
  </si>
  <si>
    <t>LG07</t>
  </si>
  <si>
    <t>LG08</t>
  </si>
  <si>
    <t>LG09</t>
  </si>
  <si>
    <t>LG10</t>
  </si>
  <si>
    <t>LG11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</si>
  <si>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</si>
  <si>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</si>
  <si>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</si>
  <si>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</si>
  <si>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</si>
  <si>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</si>
  <si>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</si>
  <si>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</si>
  <si>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</si>
  <si>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</si>
  <si>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</si>
  <si>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</si>
  <si>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G13</t>
  </si>
  <si>
    <t>G14</t>
  </si>
  <si>
    <t>G15</t>
  </si>
  <si>
    <t>Cycle Store</t>
  </si>
  <si>
    <t>Plant Service Room</t>
  </si>
  <si>
    <t>Plant Riser Room</t>
  </si>
  <si>
    <t>Entrance Lobby</t>
  </si>
  <si>
    <t>Car Park</t>
  </si>
  <si>
    <t>Landlord Plant Room</t>
  </si>
  <si>
    <t>Communal Gardens</t>
  </si>
  <si>
    <t>Corridor</t>
  </si>
  <si>
    <t>Ramp</t>
  </si>
  <si>
    <t>Lifts</t>
  </si>
  <si>
    <t>Bin Store</t>
  </si>
  <si>
    <t>Riser (by lifts)</t>
  </si>
  <si>
    <t>Riser (by amenity)</t>
  </si>
  <si>
    <t>Amenity Space (work)</t>
  </si>
  <si>
    <t>Amenity Space (rest)</t>
  </si>
  <si>
    <t>Amenity Space (play)</t>
  </si>
  <si>
    <t>Western Stair Core</t>
  </si>
  <si>
    <t>Central Stair Core</t>
  </si>
  <si>
    <t>Roof</t>
  </si>
  <si>
    <t>Airey Miller</t>
  </si>
  <si>
    <t>Benchmark Construction</t>
  </si>
  <si>
    <t>Harry Vanson</t>
  </si>
  <si>
    <t>07917 916839</t>
  </si>
  <si>
    <t>harry.vanson@aireymiller.com</t>
  </si>
  <si>
    <t>Craig Longstaff</t>
  </si>
  <si>
    <t>craig@benchmarklimited.co.uk</t>
  </si>
  <si>
    <t>07833 222834</t>
  </si>
  <si>
    <t>developer@bunnywell.co.uk</t>
  </si>
  <si>
    <t>contractor@bunnywell.co.uk</t>
  </si>
  <si>
    <t>resident@bunnywell.co.uk</t>
  </si>
  <si>
    <t>am@bunnywell.co.uk</t>
  </si>
  <si>
    <t>CoW Sample</t>
  </si>
  <si>
    <t>Test User</t>
  </si>
  <si>
    <t>Danny Dev</t>
  </si>
  <si>
    <t>studio</t>
  </si>
  <si>
    <t>Fifth</t>
  </si>
  <si>
    <t>Fourth</t>
  </si>
  <si>
    <t>17 &amp; 20</t>
  </si>
  <si>
    <t>handed over to lease firm until sold</t>
  </si>
  <si>
    <t>Landscaped Area</t>
  </si>
  <si>
    <t>Parcel Room</t>
  </si>
  <si>
    <t>Sprinkler Room</t>
  </si>
  <si>
    <t>Work From Home Space</t>
  </si>
  <si>
    <t>Social/Games Space</t>
  </si>
  <si>
    <t>Grove Construction</t>
  </si>
  <si>
    <t>Fiona Twardawa</t>
  </si>
  <si>
    <t>fiona@grvconstruction.co.uk</t>
  </si>
  <si>
    <t>01344 283333</t>
  </si>
  <si>
    <t>Ridge</t>
  </si>
  <si>
    <t>John Dring</t>
  </si>
  <si>
    <t xml:space="preserve">jdring@ridge.co.uk </t>
  </si>
  <si>
    <t>07826 875941</t>
  </si>
  <si>
    <t>carl.gilbert@gmail.com</t>
  </si>
  <si>
    <t>Carl Gilbert</t>
  </si>
  <si>
    <t>Staging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</si>
</sst>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0F3D2E"/>
      <name val="Carlito"/>
    </font>
    <font>
      <i/>
      <sz val="11"/>
      <color rgb="FF617169"/>
      <name val="Carlito"/>
    </font>
    <font>
      <b/>
      <sz val="11"/>
      <color rgb="FFFFFFFF"/>
      <name val="Carlito"/>
    </font>
    <font>
      <b/>
      <sz val="11"/>
      <color rgb="FF000000"/>
      <name val="Carlito"/>
    </font>
    <font>
      <u/>
      <sz val="11"/>
      <color theme="1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3D2E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D9DED6"/>
      </left>
      <right style="thin">
        <color rgb="FFD9DED6"/>
      </right>
      <top style="thin">
        <color rgb="FFD9DED6"/>
      </top>
      <bottom style="thin">
        <color rgb="FFD9DED6"/>
      </bottom>
      <diagonal/>
    </border>
    <border>
      <left style="thin">
        <color rgb="FFD9DED6"/>
      </left>
      <right style="thin">
        <color rgb="FFD9DED6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4" fillId="3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0" fillId="0" borderId="1" xfId="0" applyBorder="1"/>
    <xf numFmtId="14" fontId="0" fillId="0" borderId="1" xfId="0" applyNumberFormat="1" applyBorder="1"/>
    <xf numFmtId="1" fontId="0" fillId="0" borderId="0" xfId="0" applyNumberFormat="1"/>
    <xf numFmtId="0" fontId="0" fillId="0" borderId="2" xfId="0" applyBorder="1"/>
    <xf numFmtId="14" fontId="0" fillId="0" borderId="0" xfId="0" applyNumberFormat="1"/>
    <xf numFmtId="0" fontId="2" fillId="0" borderId="0" xfId="0" applyFont="1" applyAlignment="1">
      <alignment wrapText="1"/>
    </xf>
    <xf numFmtId="0" fontId="0" fillId="0" borderId="0" xfId="0"/>
    <xf numFmtId="0" fontId="5" fillId="0" borderId="0" xfId="1"/>
    <xf numFmtId="0" fontId="0" fillId="0" borderId="2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carl.gilber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showGridLines="0" workbookViewId="0"/>
  </sheetViews>
  <sheetFormatPr defaultRowHeight="13.7"/>
  <cols>
    <col min="1" max="1" width="120" customWidth="1"/>
  </cols>
  <sheetData>
    <row r="1" spans="1:1" ht="20">
      <c r="A1" s="1" t="s">
        <v>0</v>
      </c>
    </row>
    <row r="3" spans="1:1" ht="27.35">
      <c r="A3" s="2" t="s">
        <v>1</v>
      </c>
    </row>
    <row r="5" spans="1:1">
      <c r="A5" t="s">
        <v>2</v>
      </c>
    </row>
    <row r="6" spans="1:1">
      <c r="A6" t="s">
        <v>3</v>
      </c>
    </row>
    <row r="7" spans="1:1">
      <c r="A7" t="s">
        <v>4</v>
      </c>
    </row>
    <row r="8" spans="1:1">
      <c r="A8" t="s">
        <v>5</v>
      </c>
    </row>
    <row r="9" spans="1:1">
      <c r="A9" t="s">
        <v>6</v>
      </c>
    </row>
    <row r="10" spans="1:1">
      <c r="A10" t="s">
        <v>7</v>
      </c>
    </row>
    <row r="11" spans="1:1">
      <c r="A11" t="s">
        <v>8</v>
      </c>
    </row>
    <row r="12" spans="1:1">
      <c r="A1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showGridLines="0" workbookViewId="0">
      <selection activeCell="A5" sqref="A5:XFD5"/>
    </sheetView>
  </sheetViews>
  <sheetFormatPr defaultRowHeight="13.7"/>
  <cols>
    <col min="1" max="2" width="17" customWidth="1"/>
    <col min="3" max="4" width="18" customWidth="1"/>
    <col min="5" max="7" width="14" customWidth="1"/>
    <col min="8" max="8" width="29" customWidth="1"/>
    <col min="9" max="9" width="30" customWidth="1"/>
    <col min="10" max="10" width="34" customWidth="1"/>
  </cols>
  <sheetData>
    <row r="1" spans="1:10" ht="14">
      <c r="A1" s="10" t="s">
        <v>10</v>
      </c>
      <c r="B1" s="11"/>
      <c r="C1" s="11"/>
      <c r="D1" s="11"/>
      <c r="E1" s="11"/>
      <c r="F1" s="11"/>
      <c r="G1" s="11"/>
      <c r="H1" s="11"/>
      <c r="I1" s="11"/>
      <c r="J1" s="11"/>
    </row>
    <row r="3" spans="1:10">
      <c r="A3" s="3" t="s">
        <v>11</v>
      </c>
      <c r="B3" s="3" t="s">
        <v>12</v>
      </c>
      <c r="C3" s="4" t="s">
        <v>13</v>
      </c>
      <c r="D3" s="4" t="s">
        <v>14</v>
      </c>
      <c r="E3" s="4" t="s">
        <v>15</v>
      </c>
      <c r="F3" s="4" t="s">
        <v>16</v>
      </c>
      <c r="G3" s="3" t="s">
        <v>17</v>
      </c>
      <c r="H3" s="4" t="s">
        <v>18</v>
      </c>
      <c r="I3" s="4" t="s">
        <v>19</v>
      </c>
      <c r="J3" s="4" t="s">
        <v>20</v>
      </c>
    </row>
    <row r="4" spans="1:10">
      <c r="A4" s="5" t="s">
        <v>21</v>
      </c>
      <c r="B4" s="5" t="s">
        <v>22</v>
      </c>
      <c r="C4" s="5" t="s">
        <v>128</v>
      </c>
      <c r="D4" s="5" t="s">
        <v>129</v>
      </c>
      <c r="E4" s="5" t="s">
        <v>130</v>
      </c>
      <c r="F4" s="5" t="s">
        <v>131</v>
      </c>
      <c r="G4" s="5" t="s">
        <v>23</v>
      </c>
      <c r="H4" s="5"/>
      <c r="I4" s="5"/>
      <c r="J4" s="5"/>
    </row>
    <row r="5" spans="1:10">
      <c r="A5" s="5" t="s">
        <v>126</v>
      </c>
      <c r="B5" s="5" t="s">
        <v>127</v>
      </c>
      <c r="C5" s="5" t="s">
        <v>132</v>
      </c>
      <c r="D5" s="5"/>
      <c r="E5" s="5" t="s">
        <v>133</v>
      </c>
      <c r="F5" s="5" t="s">
        <v>134</v>
      </c>
      <c r="G5" s="5" t="s">
        <v>23</v>
      </c>
      <c r="H5" s="6">
        <v>45790</v>
      </c>
      <c r="I5" s="6">
        <v>46186</v>
      </c>
      <c r="J5" s="5"/>
    </row>
  </sheetData>
  <mergeCells count="1">
    <mergeCell ref="A1:J1"/>
  </mergeCells>
  <dataValidations count="1">
    <dataValidation type="list" sqref="G4:G1000" xr:uid="{00000000-0002-0000-0100-000000000000}">
      <formula1>"active,inactive,archived"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showGridLines="0" workbookViewId="0">
      <selection activeCell="A4" sqref="A4:A7"/>
    </sheetView>
  </sheetViews>
  <sheetFormatPr defaultRowHeight="13.7"/>
  <cols>
    <col min="1" max="1" width="15" customWidth="1"/>
    <col min="2" max="2" width="24" customWidth="1"/>
    <col min="3" max="3" width="17" customWidth="1"/>
    <col min="4" max="4" width="14" customWidth="1"/>
    <col min="5" max="5" width="34" customWidth="1"/>
  </cols>
  <sheetData>
    <row r="1" spans="1:5" ht="14">
      <c r="A1" s="10" t="s">
        <v>24</v>
      </c>
      <c r="B1" s="11"/>
      <c r="C1" s="11"/>
      <c r="D1" s="11"/>
      <c r="E1" s="11"/>
    </row>
    <row r="3" spans="1:5">
      <c r="A3" s="3" t="s">
        <v>25</v>
      </c>
      <c r="B3" s="4" t="s">
        <v>26</v>
      </c>
      <c r="C3" s="3" t="s">
        <v>27</v>
      </c>
      <c r="D3" s="3" t="s">
        <v>23</v>
      </c>
      <c r="E3" s="4" t="s">
        <v>20</v>
      </c>
    </row>
    <row r="4" spans="1:5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</row>
    <row r="5" spans="1:5">
      <c r="A5" s="5" t="s">
        <v>30</v>
      </c>
      <c r="B5" s="5" t="s">
        <v>33</v>
      </c>
      <c r="C5" s="5" t="s">
        <v>30</v>
      </c>
      <c r="D5" s="5" t="s">
        <v>31</v>
      </c>
      <c r="E5" s="5" t="s">
        <v>34</v>
      </c>
    </row>
    <row r="6" spans="1:5">
      <c r="A6" s="5" t="s">
        <v>35</v>
      </c>
      <c r="B6" s="5" t="s">
        <v>36</v>
      </c>
      <c r="C6" s="5" t="s">
        <v>35</v>
      </c>
      <c r="D6" s="5" t="s">
        <v>31</v>
      </c>
      <c r="E6" s="5" t="s">
        <v>37</v>
      </c>
    </row>
    <row r="7" spans="1:5">
      <c r="A7" s="5" t="s">
        <v>38</v>
      </c>
      <c r="B7" s="5" t="s">
        <v>39</v>
      </c>
      <c r="C7" s="5" t="s">
        <v>38</v>
      </c>
      <c r="D7" s="5" t="s">
        <v>31</v>
      </c>
      <c r="E7" s="5" t="s">
        <v>40</v>
      </c>
    </row>
  </sheetData>
  <mergeCells count="1">
    <mergeCell ref="A1:E1"/>
  </mergeCells>
  <dataValidations count="2">
    <dataValidation type="list" sqref="C4:C1000" xr:uid="{00000000-0002-0000-0200-000000000000}">
      <formula1>"1-bed,1-bed + study,2-bed"</formula1>
    </dataValidation>
    <dataValidation type="list" sqref="D4:D1000" xr:uid="{00000000-0002-0000-02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showGridLines="0" workbookViewId="0">
      <selection activeCell="F23" sqref="F23"/>
    </sheetView>
  </sheetViews>
  <sheetFormatPr defaultRowHeight="13.7"/>
  <cols>
    <col min="1" max="1" width="17" customWidth="1"/>
    <col min="2" max="2" width="14" customWidth="1"/>
    <col min="3" max="3" width="20" customWidth="1"/>
    <col min="4" max="4" width="14" customWidth="1"/>
    <col min="5" max="5" width="25" customWidth="1"/>
    <col min="6" max="6" width="30" customWidth="1"/>
  </cols>
  <sheetData>
    <row r="1" spans="1:6" ht="14">
      <c r="A1" s="10" t="s">
        <v>41</v>
      </c>
      <c r="B1" s="11"/>
      <c r="C1" s="11"/>
      <c r="D1" s="11"/>
      <c r="E1" s="11"/>
      <c r="F1" s="11"/>
    </row>
    <row r="3" spans="1:6">
      <c r="A3" s="3" t="s">
        <v>27</v>
      </c>
      <c r="B3" s="3" t="s">
        <v>42</v>
      </c>
      <c r="C3" s="3" t="s">
        <v>43</v>
      </c>
      <c r="D3" s="3" t="s">
        <v>44</v>
      </c>
      <c r="E3" s="4" t="s">
        <v>45</v>
      </c>
      <c r="F3" s="4" t="s">
        <v>20</v>
      </c>
    </row>
    <row r="4" spans="1:6">
      <c r="A4" s="5" t="s">
        <v>30</v>
      </c>
      <c r="B4" s="5">
        <v>10</v>
      </c>
      <c r="C4" s="5" t="s">
        <v>46</v>
      </c>
      <c r="D4" s="5" t="s">
        <v>47</v>
      </c>
      <c r="E4" s="5" t="s">
        <v>31</v>
      </c>
      <c r="F4" s="5" t="s">
        <v>48</v>
      </c>
    </row>
    <row r="5" spans="1:6">
      <c r="A5" s="5" t="s">
        <v>30</v>
      </c>
      <c r="B5" s="5">
        <v>20</v>
      </c>
      <c r="C5" s="5" t="s">
        <v>49</v>
      </c>
      <c r="D5" s="5" t="s">
        <v>47</v>
      </c>
      <c r="E5" s="5" t="s">
        <v>31</v>
      </c>
      <c r="F5" s="5"/>
    </row>
    <row r="6" spans="1:6">
      <c r="A6" s="5" t="s">
        <v>30</v>
      </c>
      <c r="B6" s="5">
        <v>30</v>
      </c>
      <c r="C6" s="5" t="s">
        <v>50</v>
      </c>
      <c r="D6" s="5" t="s">
        <v>47</v>
      </c>
      <c r="E6" s="5" t="s">
        <v>31</v>
      </c>
      <c r="F6" s="5"/>
    </row>
    <row r="7" spans="1:6">
      <c r="A7" s="5" t="s">
        <v>30</v>
      </c>
      <c r="B7" s="5">
        <v>40</v>
      </c>
      <c r="C7" s="5" t="s">
        <v>51</v>
      </c>
      <c r="D7" s="5" t="s">
        <v>47</v>
      </c>
      <c r="E7" s="5" t="s">
        <v>31</v>
      </c>
      <c r="F7" s="5"/>
    </row>
    <row r="8" spans="1:6">
      <c r="A8" s="5" t="s">
        <v>30</v>
      </c>
      <c r="B8" s="5">
        <v>50</v>
      </c>
      <c r="C8" s="5" t="s">
        <v>52</v>
      </c>
      <c r="D8" s="5" t="s">
        <v>47</v>
      </c>
      <c r="E8" s="5" t="s">
        <v>31</v>
      </c>
      <c r="F8" s="5"/>
    </row>
    <row r="9" spans="1:6">
      <c r="A9" s="5" t="s">
        <v>30</v>
      </c>
      <c r="B9" s="5">
        <v>60</v>
      </c>
      <c r="C9" s="5" t="s">
        <v>135</v>
      </c>
      <c r="D9" s="5" t="s">
        <v>47</v>
      </c>
      <c r="E9" s="5" t="s">
        <v>31</v>
      </c>
      <c r="F9" s="5"/>
    </row>
    <row r="10" spans="1:6">
      <c r="A10" s="5" t="s">
        <v>35</v>
      </c>
      <c r="B10" s="5">
        <v>10</v>
      </c>
      <c r="C10" s="5" t="s">
        <v>46</v>
      </c>
      <c r="D10" s="5" t="s">
        <v>47</v>
      </c>
      <c r="E10" s="5" t="s">
        <v>31</v>
      </c>
      <c r="F10" s="5"/>
    </row>
    <row r="11" spans="1:6">
      <c r="A11" s="5" t="s">
        <v>35</v>
      </c>
      <c r="B11" s="5">
        <v>20</v>
      </c>
      <c r="C11" s="5" t="s">
        <v>49</v>
      </c>
      <c r="D11" s="5" t="s">
        <v>47</v>
      </c>
      <c r="E11" s="5" t="s">
        <v>31</v>
      </c>
      <c r="F11" s="5"/>
    </row>
    <row r="12" spans="1:6">
      <c r="A12" s="5" t="s">
        <v>35</v>
      </c>
      <c r="B12" s="5">
        <v>30</v>
      </c>
      <c r="C12" s="5" t="s">
        <v>50</v>
      </c>
      <c r="D12" s="5" t="s">
        <v>47</v>
      </c>
      <c r="E12" s="5" t="s">
        <v>31</v>
      </c>
      <c r="F12" s="5"/>
    </row>
    <row r="13" spans="1:6">
      <c r="A13" s="5" t="s">
        <v>35</v>
      </c>
      <c r="B13" s="5">
        <v>40</v>
      </c>
      <c r="C13" s="5" t="s">
        <v>51</v>
      </c>
      <c r="D13" s="5" t="s">
        <v>47</v>
      </c>
      <c r="E13" s="5" t="s">
        <v>31</v>
      </c>
      <c r="F13" s="5"/>
    </row>
    <row r="14" spans="1:6">
      <c r="A14" s="5" t="s">
        <v>35</v>
      </c>
      <c r="B14" s="5">
        <v>50</v>
      </c>
      <c r="C14" s="5" t="s">
        <v>52</v>
      </c>
      <c r="D14" s="5" t="s">
        <v>47</v>
      </c>
      <c r="E14" s="5" t="s">
        <v>31</v>
      </c>
      <c r="F14" s="5"/>
    </row>
    <row r="15" spans="1:6">
      <c r="A15" s="5" t="s">
        <v>35</v>
      </c>
      <c r="B15" s="5">
        <v>60</v>
      </c>
      <c r="C15" s="5" t="s">
        <v>53</v>
      </c>
      <c r="D15" s="5" t="s">
        <v>47</v>
      </c>
      <c r="E15" s="5" t="s">
        <v>31</v>
      </c>
      <c r="F15" s="5" t="s">
        <v>54</v>
      </c>
    </row>
    <row r="16" spans="1:6">
      <c r="A16" s="5" t="s">
        <v>35</v>
      </c>
      <c r="B16" s="5">
        <v>70</v>
      </c>
      <c r="C16" s="5" t="s">
        <v>135</v>
      </c>
      <c r="D16" s="5" t="s">
        <v>47</v>
      </c>
      <c r="E16" s="5" t="s">
        <v>31</v>
      </c>
      <c r="F16" s="5"/>
    </row>
    <row r="17" spans="1:6">
      <c r="A17" s="5" t="s">
        <v>38</v>
      </c>
      <c r="B17" s="5">
        <v>10</v>
      </c>
      <c r="C17" s="5" t="s">
        <v>46</v>
      </c>
      <c r="D17" s="5" t="s">
        <v>47</v>
      </c>
      <c r="E17" s="5" t="s">
        <v>31</v>
      </c>
      <c r="F17" s="5"/>
    </row>
    <row r="18" spans="1:6">
      <c r="A18" s="5" t="s">
        <v>38</v>
      </c>
      <c r="B18" s="5">
        <v>20</v>
      </c>
      <c r="C18" s="5" t="s">
        <v>49</v>
      </c>
      <c r="D18" s="5" t="s">
        <v>47</v>
      </c>
      <c r="E18" s="5" t="s">
        <v>31</v>
      </c>
      <c r="F18" s="5"/>
    </row>
    <row r="19" spans="1:6">
      <c r="A19" s="5" t="s">
        <v>38</v>
      </c>
      <c r="B19" s="5">
        <v>30</v>
      </c>
      <c r="C19" s="5" t="s">
        <v>50</v>
      </c>
      <c r="D19" s="5" t="s">
        <v>47</v>
      </c>
      <c r="E19" s="5" t="s">
        <v>31</v>
      </c>
      <c r="F19" s="5"/>
    </row>
    <row r="20" spans="1:6">
      <c r="A20" s="5" t="s">
        <v>38</v>
      </c>
      <c r="B20" s="5">
        <v>40</v>
      </c>
      <c r="C20" s="5" t="s">
        <v>51</v>
      </c>
      <c r="D20" s="5" t="s">
        <v>47</v>
      </c>
      <c r="E20" s="5" t="s">
        <v>31</v>
      </c>
      <c r="F20" s="5"/>
    </row>
    <row r="21" spans="1:6">
      <c r="A21" s="5" t="s">
        <v>38</v>
      </c>
      <c r="B21" s="5">
        <v>50</v>
      </c>
      <c r="C21" s="5" t="s">
        <v>55</v>
      </c>
      <c r="D21" s="5" t="s">
        <v>47</v>
      </c>
      <c r="E21" s="5" t="s">
        <v>31</v>
      </c>
      <c r="F21" s="5" t="s">
        <v>56</v>
      </c>
    </row>
    <row r="22" spans="1:6">
      <c r="A22" s="5" t="s">
        <v>38</v>
      </c>
      <c r="B22" s="5">
        <v>60</v>
      </c>
      <c r="C22" s="5" t="s">
        <v>57</v>
      </c>
      <c r="D22" s="5" t="s">
        <v>47</v>
      </c>
      <c r="E22" s="5" t="s">
        <v>31</v>
      </c>
      <c r="F22" s="5"/>
    </row>
    <row r="23" spans="1:6">
      <c r="A23" s="5" t="s">
        <v>38</v>
      </c>
      <c r="B23" s="5">
        <v>70</v>
      </c>
      <c r="C23" s="5" t="s">
        <v>135</v>
      </c>
      <c r="D23" s="5" t="s">
        <v>47</v>
      </c>
      <c r="E23" s="5" t="s">
        <v>31</v>
      </c>
      <c r="F23" s="5"/>
    </row>
  </sheetData>
  <mergeCells count="1">
    <mergeCell ref="A1:F1"/>
  </mergeCells>
  <dataValidations count="3">
    <dataValidation type="list" sqref="A4:A1002" xr:uid="{00000000-0002-0000-0300-000000000000}">
      <formula1>"1-bed,1-bed + study,2-bed"</formula1>
    </dataValidation>
    <dataValidation type="list" sqref="D4:D1002" xr:uid="{00000000-0002-0000-0300-000001000000}">
      <formula1>"unit_room"</formula1>
    </dataValidation>
    <dataValidation type="list" sqref="E4:E1002" xr:uid="{00000000-0002-0000-0300-000002000000}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2"/>
  <sheetViews>
    <sheetView showGridLines="0" zoomScale="98" zoomScaleNormal="98" workbookViewId="0">
      <selection activeCell="H139" sqref="H139"/>
    </sheetView>
  </sheetViews>
  <sheetFormatPr defaultRowHeight="13.7"/>
  <cols>
    <col min="1" max="1" width="17" customWidth="1"/>
    <col min="2" max="2" width="15" customWidth="1"/>
    <col min="3" max="6" width="14" customWidth="1"/>
    <col min="7" max="7" width="15" customWidth="1"/>
    <col min="8" max="8" width="19" customWidth="1"/>
    <col min="9" max="9" width="17" customWidth="1"/>
    <col min="10" max="10" width="16" customWidth="1"/>
    <col min="11" max="11" width="15" customWidth="1"/>
    <col min="12" max="12" width="23" customWidth="1"/>
    <col min="13" max="13" width="24" customWidth="1"/>
    <col min="14" max="14" width="17" customWidth="1"/>
    <col min="15" max="15" width="33" customWidth="1"/>
  </cols>
  <sheetData>
    <row r="1" spans="1:15" ht="14">
      <c r="A1" s="10" t="s">
        <v>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3" spans="1:15">
      <c r="A3" s="3" t="s">
        <v>11</v>
      </c>
      <c r="B3" s="3" t="s">
        <v>59</v>
      </c>
      <c r="C3" s="4" t="s">
        <v>60</v>
      </c>
      <c r="D3" s="3" t="s">
        <v>25</v>
      </c>
      <c r="E3" s="4" t="s">
        <v>61</v>
      </c>
      <c r="F3" s="4" t="s">
        <v>62</v>
      </c>
      <c r="G3" s="3" t="s">
        <v>63</v>
      </c>
      <c r="H3" s="4" t="s">
        <v>64</v>
      </c>
      <c r="I3" s="4" t="s">
        <v>65</v>
      </c>
      <c r="J3" s="4" t="s">
        <v>66</v>
      </c>
      <c r="K3" s="4" t="s">
        <v>67</v>
      </c>
      <c r="L3" s="4" t="s">
        <v>68</v>
      </c>
      <c r="M3" s="4" t="s">
        <v>69</v>
      </c>
      <c r="N3" s="4" t="s">
        <v>70</v>
      </c>
      <c r="O3" s="4" t="s">
        <v>20</v>
      </c>
    </row>
    <row r="4" spans="1:15">
      <c r="A4" s="5" t="s">
        <v>21</v>
      </c>
      <c r="B4" t="s">
        <v>139</v>
      </c>
      <c r="C4" t="s">
        <v>136</v>
      </c>
      <c r="D4" t="s">
        <v>35</v>
      </c>
      <c r="E4">
        <v>61.4</v>
      </c>
      <c r="F4" s="7">
        <f>CONVERT(E4,"m^2","ft^2")</f>
        <v>660.90409958597695</v>
      </c>
      <c r="G4" s="5" t="s">
        <v>77</v>
      </c>
      <c r="K4" t="s">
        <v>75</v>
      </c>
      <c r="L4" t="s">
        <v>31</v>
      </c>
      <c r="N4" t="s">
        <v>75</v>
      </c>
    </row>
    <row r="5" spans="1:15">
      <c r="A5" s="5" t="s">
        <v>21</v>
      </c>
      <c r="B5" t="s">
        <v>140</v>
      </c>
      <c r="C5" t="s">
        <v>136</v>
      </c>
      <c r="D5" t="s">
        <v>35</v>
      </c>
      <c r="E5">
        <v>54.4</v>
      </c>
      <c r="F5" s="7">
        <f t="shared" ref="F5:F68" si="0">CONVERT(E5,"m^2","ft^2")</f>
        <v>585.55672666900887</v>
      </c>
      <c r="G5" s="5" t="s">
        <v>77</v>
      </c>
      <c r="K5" t="s">
        <v>75</v>
      </c>
      <c r="L5" t="s">
        <v>31</v>
      </c>
      <c r="N5" t="s">
        <v>75</v>
      </c>
    </row>
    <row r="6" spans="1:15">
      <c r="A6" s="5" t="s">
        <v>21</v>
      </c>
      <c r="B6" t="s">
        <v>141</v>
      </c>
      <c r="C6" t="s">
        <v>136</v>
      </c>
      <c r="D6" t="s">
        <v>35</v>
      </c>
      <c r="E6">
        <v>48.2</v>
      </c>
      <c r="F6" s="7">
        <f t="shared" si="0"/>
        <v>518.82048208540857</v>
      </c>
      <c r="G6" s="5" t="s">
        <v>77</v>
      </c>
      <c r="K6" t="s">
        <v>75</v>
      </c>
      <c r="L6" t="s">
        <v>31</v>
      </c>
      <c r="N6" t="s">
        <v>75</v>
      </c>
    </row>
    <row r="7" spans="1:15">
      <c r="A7" s="5" t="s">
        <v>21</v>
      </c>
      <c r="B7" t="s">
        <v>142</v>
      </c>
      <c r="C7" t="s">
        <v>136</v>
      </c>
      <c r="D7" t="s">
        <v>30</v>
      </c>
      <c r="E7">
        <v>44.6</v>
      </c>
      <c r="F7" s="7">
        <f t="shared" si="0"/>
        <v>480.07040458525364</v>
      </c>
      <c r="G7" s="5" t="s">
        <v>77</v>
      </c>
      <c r="K7" t="s">
        <v>75</v>
      </c>
      <c r="L7" t="s">
        <v>31</v>
      </c>
      <c r="N7" t="s">
        <v>75</v>
      </c>
    </row>
    <row r="8" spans="1:15">
      <c r="A8" s="5" t="s">
        <v>21</v>
      </c>
      <c r="B8" t="s">
        <v>143</v>
      </c>
      <c r="C8" t="s">
        <v>136</v>
      </c>
      <c r="D8" t="s">
        <v>35</v>
      </c>
      <c r="E8">
        <v>50.8</v>
      </c>
      <c r="F8" s="7">
        <f t="shared" si="0"/>
        <v>546.80664916885394</v>
      </c>
      <c r="G8" s="5" t="s">
        <v>77</v>
      </c>
      <c r="K8" t="s">
        <v>75</v>
      </c>
      <c r="L8" t="s">
        <v>31</v>
      </c>
      <c r="N8" t="s">
        <v>75</v>
      </c>
    </row>
    <row r="9" spans="1:15">
      <c r="A9" s="5" t="s">
        <v>21</v>
      </c>
      <c r="B9" t="s">
        <v>144</v>
      </c>
      <c r="C9" t="s">
        <v>136</v>
      </c>
      <c r="D9" t="s">
        <v>38</v>
      </c>
      <c r="E9">
        <v>84.9</v>
      </c>
      <c r="F9" s="7">
        <f t="shared" si="0"/>
        <v>913.85599437865551</v>
      </c>
      <c r="G9" s="5" t="s">
        <v>77</v>
      </c>
      <c r="K9" t="s">
        <v>31</v>
      </c>
      <c r="L9" t="s">
        <v>31</v>
      </c>
      <c r="N9" t="s">
        <v>75</v>
      </c>
    </row>
    <row r="10" spans="1:15">
      <c r="A10" s="5" t="s">
        <v>21</v>
      </c>
      <c r="B10" t="s">
        <v>145</v>
      </c>
      <c r="C10" t="s">
        <v>136</v>
      </c>
      <c r="D10" t="s">
        <v>35</v>
      </c>
      <c r="E10">
        <v>68.599999999999994</v>
      </c>
      <c r="F10" s="7">
        <f t="shared" si="0"/>
        <v>738.40425458628681</v>
      </c>
      <c r="G10" s="5" t="s">
        <v>77</v>
      </c>
      <c r="K10" t="s">
        <v>75</v>
      </c>
      <c r="L10" t="s">
        <v>31</v>
      </c>
      <c r="N10" t="s">
        <v>75</v>
      </c>
    </row>
    <row r="11" spans="1:15">
      <c r="A11" s="5" t="s">
        <v>21</v>
      </c>
      <c r="B11" t="s">
        <v>146</v>
      </c>
      <c r="C11" t="s">
        <v>136</v>
      </c>
      <c r="D11" t="s">
        <v>35</v>
      </c>
      <c r="E11">
        <v>56.3</v>
      </c>
      <c r="F11" s="7">
        <f t="shared" si="0"/>
        <v>606.00815646075728</v>
      </c>
      <c r="G11" s="5" t="s">
        <v>77</v>
      </c>
      <c r="K11" t="s">
        <v>75</v>
      </c>
      <c r="L11" t="s">
        <v>31</v>
      </c>
      <c r="N11" t="s">
        <v>75</v>
      </c>
    </row>
    <row r="12" spans="1:15">
      <c r="A12" s="5" t="s">
        <v>21</v>
      </c>
      <c r="B12" t="s">
        <v>147</v>
      </c>
      <c r="C12" t="s">
        <v>136</v>
      </c>
      <c r="D12" t="s">
        <v>38</v>
      </c>
      <c r="E12">
        <v>86.2</v>
      </c>
      <c r="F12" s="7">
        <f t="shared" si="0"/>
        <v>927.84907792037802</v>
      </c>
      <c r="G12" s="5" t="s">
        <v>77</v>
      </c>
      <c r="K12" t="s">
        <v>31</v>
      </c>
      <c r="L12" t="s">
        <v>31</v>
      </c>
      <c r="N12" t="s">
        <v>31</v>
      </c>
    </row>
    <row r="13" spans="1:15">
      <c r="A13" s="5" t="s">
        <v>21</v>
      </c>
      <c r="B13" t="s">
        <v>148</v>
      </c>
      <c r="C13" t="s">
        <v>136</v>
      </c>
      <c r="D13" t="s">
        <v>35</v>
      </c>
      <c r="E13">
        <v>58.6</v>
      </c>
      <c r="F13" s="7">
        <f t="shared" si="0"/>
        <v>630.76515041918969</v>
      </c>
      <c r="G13" s="5" t="s">
        <v>77</v>
      </c>
      <c r="K13" t="s">
        <v>75</v>
      </c>
      <c r="L13" t="s">
        <v>31</v>
      </c>
      <c r="N13" t="s">
        <v>75</v>
      </c>
    </row>
    <row r="14" spans="1:15">
      <c r="A14" s="5" t="s">
        <v>21</v>
      </c>
      <c r="B14" t="s">
        <v>149</v>
      </c>
      <c r="C14" t="s">
        <v>136</v>
      </c>
      <c r="D14" t="s">
        <v>35</v>
      </c>
      <c r="E14">
        <v>51.3</v>
      </c>
      <c r="F14" s="7">
        <f t="shared" si="0"/>
        <v>552.18860437720866</v>
      </c>
      <c r="G14" s="5" t="s">
        <v>77</v>
      </c>
      <c r="K14" t="s">
        <v>75</v>
      </c>
      <c r="L14" t="s">
        <v>31</v>
      </c>
      <c r="N14" t="s">
        <v>75</v>
      </c>
    </row>
    <row r="15" spans="1:15">
      <c r="A15" s="5" t="s">
        <v>21</v>
      </c>
      <c r="B15" t="s">
        <v>150</v>
      </c>
      <c r="C15" t="s">
        <v>78</v>
      </c>
      <c r="D15" t="s">
        <v>30</v>
      </c>
      <c r="E15">
        <v>45.7</v>
      </c>
      <c r="F15" s="7">
        <f t="shared" si="0"/>
        <v>491.91070604363438</v>
      </c>
      <c r="G15" s="5" t="s">
        <v>77</v>
      </c>
      <c r="K15" t="s">
        <v>75</v>
      </c>
      <c r="L15" t="s">
        <v>75</v>
      </c>
      <c r="N15" t="s">
        <v>75</v>
      </c>
    </row>
    <row r="16" spans="1:15">
      <c r="A16" s="5" t="s">
        <v>21</v>
      </c>
      <c r="B16" t="s">
        <v>151</v>
      </c>
      <c r="C16" t="s">
        <v>78</v>
      </c>
      <c r="D16" t="s">
        <v>30</v>
      </c>
      <c r="E16">
        <v>40.9</v>
      </c>
      <c r="F16" s="7">
        <f t="shared" si="0"/>
        <v>440.24393604342765</v>
      </c>
      <c r="G16" s="5" t="s">
        <v>77</v>
      </c>
      <c r="K16" t="s">
        <v>75</v>
      </c>
      <c r="L16" t="s">
        <v>75</v>
      </c>
      <c r="N16" t="s">
        <v>75</v>
      </c>
    </row>
    <row r="17" spans="1:14">
      <c r="A17" s="5" t="s">
        <v>21</v>
      </c>
      <c r="B17" t="s">
        <v>152</v>
      </c>
      <c r="C17" t="s">
        <v>78</v>
      </c>
      <c r="D17" t="s">
        <v>30</v>
      </c>
      <c r="E17">
        <v>44.7</v>
      </c>
      <c r="F17" s="7">
        <f t="shared" si="0"/>
        <v>481.14679562692464</v>
      </c>
      <c r="G17" s="5" t="s">
        <v>77</v>
      </c>
      <c r="K17" t="s">
        <v>75</v>
      </c>
      <c r="L17" t="s">
        <v>75</v>
      </c>
      <c r="N17" t="s">
        <v>75</v>
      </c>
    </row>
    <row r="18" spans="1:14">
      <c r="A18" s="5" t="s">
        <v>21</v>
      </c>
      <c r="B18" t="s">
        <v>153</v>
      </c>
      <c r="C18" t="s">
        <v>78</v>
      </c>
      <c r="D18" t="s">
        <v>35</v>
      </c>
      <c r="E18">
        <v>59.6</v>
      </c>
      <c r="F18" s="7">
        <f t="shared" si="0"/>
        <v>641.52906083589949</v>
      </c>
      <c r="G18" s="5" t="s">
        <v>77</v>
      </c>
      <c r="K18" t="s">
        <v>75</v>
      </c>
      <c r="L18" t="s">
        <v>75</v>
      </c>
      <c r="N18" t="s">
        <v>31</v>
      </c>
    </row>
    <row r="19" spans="1:14">
      <c r="A19" s="5" t="s">
        <v>21</v>
      </c>
      <c r="B19" t="s">
        <v>154</v>
      </c>
      <c r="C19" t="s">
        <v>78</v>
      </c>
      <c r="D19" t="s">
        <v>30</v>
      </c>
      <c r="E19">
        <v>42.3</v>
      </c>
      <c r="F19" s="7">
        <f t="shared" si="0"/>
        <v>455.31341062682122</v>
      </c>
      <c r="G19" s="5" t="s">
        <v>77</v>
      </c>
      <c r="K19" t="s">
        <v>75</v>
      </c>
      <c r="L19" t="s">
        <v>75</v>
      </c>
      <c r="N19" t="s">
        <v>75</v>
      </c>
    </row>
    <row r="20" spans="1:14">
      <c r="A20" s="5" t="s">
        <v>21</v>
      </c>
      <c r="B20" t="s">
        <v>155</v>
      </c>
      <c r="C20" t="s">
        <v>78</v>
      </c>
      <c r="D20" t="s">
        <v>30</v>
      </c>
      <c r="E20">
        <v>44.5</v>
      </c>
      <c r="F20" s="7">
        <f t="shared" si="0"/>
        <v>478.99401354358264</v>
      </c>
      <c r="G20" s="5" t="s">
        <v>77</v>
      </c>
      <c r="K20" t="s">
        <v>75</v>
      </c>
      <c r="L20" t="s">
        <v>75</v>
      </c>
      <c r="N20" t="s">
        <v>75</v>
      </c>
    </row>
    <row r="21" spans="1:14">
      <c r="A21" s="5" t="s">
        <v>21</v>
      </c>
      <c r="B21" t="s">
        <v>156</v>
      </c>
      <c r="C21" t="s">
        <v>78</v>
      </c>
      <c r="D21" t="s">
        <v>30</v>
      </c>
      <c r="E21">
        <v>38.799999999999997</v>
      </c>
      <c r="F21" s="7">
        <f t="shared" si="0"/>
        <v>417.63972416833718</v>
      </c>
      <c r="G21" s="5" t="s">
        <v>77</v>
      </c>
      <c r="K21" t="s">
        <v>75</v>
      </c>
      <c r="L21" t="s">
        <v>75</v>
      </c>
      <c r="N21" t="s">
        <v>75</v>
      </c>
    </row>
    <row r="22" spans="1:14">
      <c r="A22" s="5" t="s">
        <v>21</v>
      </c>
      <c r="B22" t="s">
        <v>157</v>
      </c>
      <c r="C22" t="s">
        <v>78</v>
      </c>
      <c r="D22" t="s">
        <v>35</v>
      </c>
      <c r="E22">
        <v>45</v>
      </c>
      <c r="F22" s="7">
        <f t="shared" si="0"/>
        <v>484.37596875193748</v>
      </c>
      <c r="G22" s="5" t="s">
        <v>77</v>
      </c>
      <c r="K22" t="s">
        <v>75</v>
      </c>
      <c r="L22" t="s">
        <v>75</v>
      </c>
      <c r="N22" t="s">
        <v>75</v>
      </c>
    </row>
    <row r="23" spans="1:14">
      <c r="A23" s="5" t="s">
        <v>21</v>
      </c>
      <c r="B23" t="s">
        <v>158</v>
      </c>
      <c r="C23" t="s">
        <v>78</v>
      </c>
      <c r="D23" t="s">
        <v>35</v>
      </c>
      <c r="E23">
        <v>49.9</v>
      </c>
      <c r="F23" s="7">
        <f t="shared" si="0"/>
        <v>537.11912979381509</v>
      </c>
      <c r="G23" s="5" t="s">
        <v>77</v>
      </c>
      <c r="K23" t="s">
        <v>75</v>
      </c>
      <c r="L23" t="s">
        <v>75</v>
      </c>
      <c r="N23" t="s">
        <v>75</v>
      </c>
    </row>
    <row r="24" spans="1:14">
      <c r="A24" s="5" t="s">
        <v>21</v>
      </c>
      <c r="B24" t="s">
        <v>159</v>
      </c>
      <c r="C24" t="s">
        <v>78</v>
      </c>
      <c r="D24" t="s">
        <v>30</v>
      </c>
      <c r="E24">
        <v>48</v>
      </c>
      <c r="F24" s="7">
        <f t="shared" si="0"/>
        <v>516.66770000206668</v>
      </c>
      <c r="G24" s="5" t="s">
        <v>77</v>
      </c>
      <c r="K24" t="s">
        <v>75</v>
      </c>
      <c r="L24" t="s">
        <v>75</v>
      </c>
      <c r="N24" t="s">
        <v>75</v>
      </c>
    </row>
    <row r="25" spans="1:14">
      <c r="A25" s="5" t="s">
        <v>21</v>
      </c>
      <c r="B25" t="s">
        <v>160</v>
      </c>
      <c r="C25" t="s">
        <v>78</v>
      </c>
      <c r="D25" t="s">
        <v>30</v>
      </c>
      <c r="E25">
        <v>41.7</v>
      </c>
      <c r="F25" s="7">
        <f t="shared" si="0"/>
        <v>448.8550643767955</v>
      </c>
      <c r="G25" s="5" t="s">
        <v>77</v>
      </c>
      <c r="K25" t="s">
        <v>75</v>
      </c>
      <c r="L25" t="s">
        <v>75</v>
      </c>
      <c r="N25" t="s">
        <v>75</v>
      </c>
    </row>
    <row r="26" spans="1:14">
      <c r="A26" s="5" t="s">
        <v>21</v>
      </c>
      <c r="B26" t="s">
        <v>161</v>
      </c>
      <c r="C26" t="s">
        <v>78</v>
      </c>
      <c r="D26" t="s">
        <v>30</v>
      </c>
      <c r="E26">
        <v>39.1</v>
      </c>
      <c r="F26" s="7">
        <f t="shared" si="0"/>
        <v>420.86889729335013</v>
      </c>
      <c r="G26" s="5" t="s">
        <v>77</v>
      </c>
      <c r="K26" t="s">
        <v>75</v>
      </c>
      <c r="L26" t="s">
        <v>75</v>
      </c>
      <c r="N26" t="s">
        <v>75</v>
      </c>
    </row>
    <row r="27" spans="1:14">
      <c r="A27" s="5" t="s">
        <v>21</v>
      </c>
      <c r="B27" t="s">
        <v>162</v>
      </c>
      <c r="C27" t="s">
        <v>78</v>
      </c>
      <c r="D27" t="s">
        <v>30</v>
      </c>
      <c r="E27">
        <v>40.1</v>
      </c>
      <c r="F27" s="7">
        <f t="shared" si="0"/>
        <v>431.63280771005986</v>
      </c>
      <c r="G27" s="5" t="s">
        <v>77</v>
      </c>
      <c r="K27" t="s">
        <v>75</v>
      </c>
      <c r="L27" t="s">
        <v>75</v>
      </c>
      <c r="N27" t="s">
        <v>75</v>
      </c>
    </row>
    <row r="28" spans="1:14">
      <c r="A28" s="5" t="s">
        <v>21</v>
      </c>
      <c r="B28" t="s">
        <v>163</v>
      </c>
      <c r="C28" t="s">
        <v>78</v>
      </c>
      <c r="D28" t="s">
        <v>30</v>
      </c>
      <c r="E28">
        <v>42.5</v>
      </c>
      <c r="F28" s="7">
        <f t="shared" si="0"/>
        <v>457.46619271016317</v>
      </c>
      <c r="G28" s="5" t="s">
        <v>77</v>
      </c>
      <c r="K28" t="s">
        <v>75</v>
      </c>
      <c r="L28" t="s">
        <v>75</v>
      </c>
      <c r="N28" t="s">
        <v>75</v>
      </c>
    </row>
    <row r="29" spans="1:14">
      <c r="A29" s="5" t="s">
        <v>21</v>
      </c>
      <c r="B29" t="s">
        <v>164</v>
      </c>
      <c r="C29" t="s">
        <v>78</v>
      </c>
      <c r="D29" t="s">
        <v>30</v>
      </c>
      <c r="E29">
        <v>42</v>
      </c>
      <c r="F29" s="7">
        <f t="shared" si="0"/>
        <v>452.08423750180833</v>
      </c>
      <c r="G29" s="5" t="s">
        <v>77</v>
      </c>
      <c r="K29" t="s">
        <v>75</v>
      </c>
      <c r="L29" t="s">
        <v>75</v>
      </c>
      <c r="N29" t="s">
        <v>75</v>
      </c>
    </row>
    <row r="30" spans="1:14">
      <c r="A30" s="5" t="s">
        <v>21</v>
      </c>
      <c r="B30">
        <v>101</v>
      </c>
      <c r="C30" t="s">
        <v>72</v>
      </c>
      <c r="D30" t="s">
        <v>30</v>
      </c>
      <c r="E30">
        <v>46.2</v>
      </c>
      <c r="F30" s="7">
        <f t="shared" si="0"/>
        <v>497.29266125198922</v>
      </c>
      <c r="G30" s="5" t="s">
        <v>77</v>
      </c>
      <c r="K30" t="s">
        <v>75</v>
      </c>
      <c r="L30" t="s">
        <v>75</v>
      </c>
      <c r="N30" t="s">
        <v>75</v>
      </c>
    </row>
    <row r="31" spans="1:14">
      <c r="A31" s="5" t="s">
        <v>21</v>
      </c>
      <c r="B31">
        <v>102</v>
      </c>
      <c r="C31" t="s">
        <v>72</v>
      </c>
      <c r="D31" t="s">
        <v>30</v>
      </c>
      <c r="E31">
        <v>41.3</v>
      </c>
      <c r="F31" s="7">
        <f t="shared" si="0"/>
        <v>444.54950021011149</v>
      </c>
      <c r="G31" s="5" t="s">
        <v>77</v>
      </c>
      <c r="K31" t="s">
        <v>75</v>
      </c>
      <c r="L31" t="s">
        <v>75</v>
      </c>
      <c r="N31" t="s">
        <v>75</v>
      </c>
    </row>
    <row r="32" spans="1:14">
      <c r="A32" s="5" t="s">
        <v>21</v>
      </c>
      <c r="B32">
        <v>103</v>
      </c>
      <c r="C32" t="s">
        <v>72</v>
      </c>
      <c r="D32" t="s">
        <v>30</v>
      </c>
      <c r="E32">
        <v>44.7</v>
      </c>
      <c r="F32" s="7">
        <f t="shared" si="0"/>
        <v>481.14679562692464</v>
      </c>
      <c r="G32" s="5" t="s">
        <v>77</v>
      </c>
      <c r="K32" t="s">
        <v>75</v>
      </c>
      <c r="L32" t="s">
        <v>75</v>
      </c>
      <c r="N32" t="s">
        <v>75</v>
      </c>
    </row>
    <row r="33" spans="1:14">
      <c r="A33" s="5" t="s">
        <v>21</v>
      </c>
      <c r="B33">
        <v>104</v>
      </c>
      <c r="C33" t="s">
        <v>72</v>
      </c>
      <c r="D33" t="s">
        <v>35</v>
      </c>
      <c r="E33">
        <v>61.2</v>
      </c>
      <c r="F33" s="7">
        <f t="shared" si="0"/>
        <v>658.75131750263506</v>
      </c>
      <c r="G33" s="5" t="s">
        <v>77</v>
      </c>
      <c r="K33" t="s">
        <v>75</v>
      </c>
      <c r="L33" t="s">
        <v>75</v>
      </c>
      <c r="N33" t="s">
        <v>75</v>
      </c>
    </row>
    <row r="34" spans="1:14">
      <c r="A34" s="5" t="s">
        <v>21</v>
      </c>
      <c r="B34">
        <v>105</v>
      </c>
      <c r="C34" t="s">
        <v>72</v>
      </c>
      <c r="D34" t="s">
        <v>30</v>
      </c>
      <c r="E34">
        <v>42.2</v>
      </c>
      <c r="F34" s="7">
        <f t="shared" si="0"/>
        <v>454.23701958515034</v>
      </c>
      <c r="G34" s="5" t="s">
        <v>77</v>
      </c>
      <c r="K34" t="s">
        <v>75</v>
      </c>
      <c r="L34" t="s">
        <v>75</v>
      </c>
      <c r="N34" t="s">
        <v>75</v>
      </c>
    </row>
    <row r="35" spans="1:14">
      <c r="A35" s="5" t="s">
        <v>21</v>
      </c>
      <c r="B35">
        <v>106</v>
      </c>
      <c r="C35" t="s">
        <v>72</v>
      </c>
      <c r="D35" t="s">
        <v>30</v>
      </c>
      <c r="E35">
        <v>44.4</v>
      </c>
      <c r="F35" s="7">
        <f t="shared" si="0"/>
        <v>477.91762250191169</v>
      </c>
      <c r="G35" s="5" t="s">
        <v>77</v>
      </c>
      <c r="K35" t="s">
        <v>75</v>
      </c>
      <c r="L35" t="s">
        <v>75</v>
      </c>
      <c r="N35" t="s">
        <v>75</v>
      </c>
    </row>
    <row r="36" spans="1:14">
      <c r="A36" s="5" t="s">
        <v>21</v>
      </c>
      <c r="B36">
        <v>107</v>
      </c>
      <c r="C36" t="s">
        <v>72</v>
      </c>
      <c r="D36" t="s">
        <v>30</v>
      </c>
      <c r="E36">
        <v>38.799999999999997</v>
      </c>
      <c r="F36" s="7">
        <f t="shared" si="0"/>
        <v>417.63972416833718</v>
      </c>
      <c r="G36" s="5" t="s">
        <v>77</v>
      </c>
      <c r="K36" t="s">
        <v>75</v>
      </c>
      <c r="L36" t="s">
        <v>75</v>
      </c>
      <c r="N36" t="s">
        <v>75</v>
      </c>
    </row>
    <row r="37" spans="1:14">
      <c r="A37" s="5" t="s">
        <v>21</v>
      </c>
      <c r="B37">
        <v>108</v>
      </c>
      <c r="C37" t="s">
        <v>72</v>
      </c>
      <c r="D37" t="s">
        <v>35</v>
      </c>
      <c r="E37">
        <v>45.1</v>
      </c>
      <c r="F37" s="7">
        <f t="shared" si="0"/>
        <v>485.45235979360848</v>
      </c>
      <c r="G37" s="5" t="s">
        <v>77</v>
      </c>
      <c r="K37" t="s">
        <v>75</v>
      </c>
      <c r="L37" t="s">
        <v>75</v>
      </c>
      <c r="N37" t="s">
        <v>75</v>
      </c>
    </row>
    <row r="38" spans="1:14">
      <c r="A38" s="5" t="s">
        <v>21</v>
      </c>
      <c r="B38">
        <v>109</v>
      </c>
      <c r="C38" t="s">
        <v>72</v>
      </c>
      <c r="D38" t="s">
        <v>35</v>
      </c>
      <c r="E38">
        <v>49.9</v>
      </c>
      <c r="F38" s="7">
        <f t="shared" si="0"/>
        <v>537.11912979381509</v>
      </c>
      <c r="G38" s="5" t="s">
        <v>77</v>
      </c>
      <c r="K38" t="s">
        <v>75</v>
      </c>
      <c r="L38" t="s">
        <v>75</v>
      </c>
      <c r="N38" t="s">
        <v>75</v>
      </c>
    </row>
    <row r="39" spans="1:14">
      <c r="A39" s="5" t="s">
        <v>21</v>
      </c>
      <c r="B39">
        <v>110</v>
      </c>
      <c r="C39" t="s">
        <v>72</v>
      </c>
      <c r="D39" t="s">
        <v>30</v>
      </c>
      <c r="E39">
        <v>48</v>
      </c>
      <c r="F39" s="7">
        <f t="shared" si="0"/>
        <v>516.66770000206668</v>
      </c>
      <c r="G39" s="5" t="s">
        <v>77</v>
      </c>
      <c r="K39" t="s">
        <v>75</v>
      </c>
      <c r="L39" t="s">
        <v>75</v>
      </c>
      <c r="N39" t="s">
        <v>75</v>
      </c>
    </row>
    <row r="40" spans="1:14">
      <c r="A40" s="5" t="s">
        <v>21</v>
      </c>
      <c r="B40">
        <v>111</v>
      </c>
      <c r="C40" t="s">
        <v>72</v>
      </c>
      <c r="D40" t="s">
        <v>30</v>
      </c>
      <c r="E40">
        <v>41.7</v>
      </c>
      <c r="F40" s="7">
        <f t="shared" si="0"/>
        <v>448.8550643767955</v>
      </c>
      <c r="G40" s="5" t="s">
        <v>77</v>
      </c>
      <c r="K40" t="s">
        <v>75</v>
      </c>
      <c r="L40" t="s">
        <v>75</v>
      </c>
      <c r="N40" t="s">
        <v>75</v>
      </c>
    </row>
    <row r="41" spans="1:14">
      <c r="A41" s="5" t="s">
        <v>21</v>
      </c>
      <c r="B41">
        <v>112</v>
      </c>
      <c r="C41" t="s">
        <v>72</v>
      </c>
      <c r="D41" t="s">
        <v>30</v>
      </c>
      <c r="E41">
        <v>40.6</v>
      </c>
      <c r="F41" s="7">
        <f t="shared" si="0"/>
        <v>437.0147629184147</v>
      </c>
      <c r="G41" s="5" t="s">
        <v>77</v>
      </c>
      <c r="K41" t="s">
        <v>75</v>
      </c>
      <c r="L41" t="s">
        <v>75</v>
      </c>
      <c r="N41" t="s">
        <v>75</v>
      </c>
    </row>
    <row r="42" spans="1:14">
      <c r="A42" s="5" t="s">
        <v>21</v>
      </c>
      <c r="B42">
        <v>113</v>
      </c>
      <c r="C42" t="s">
        <v>72</v>
      </c>
      <c r="D42" t="s">
        <v>30</v>
      </c>
      <c r="E42">
        <v>40</v>
      </c>
      <c r="F42" s="7">
        <f t="shared" si="0"/>
        <v>430.55641666838892</v>
      </c>
      <c r="G42" s="5" t="s">
        <v>77</v>
      </c>
      <c r="K42" t="s">
        <v>75</v>
      </c>
      <c r="L42" t="s">
        <v>75</v>
      </c>
      <c r="N42" t="s">
        <v>75</v>
      </c>
    </row>
    <row r="43" spans="1:14">
      <c r="A43" s="5" t="s">
        <v>21</v>
      </c>
      <c r="B43">
        <v>114</v>
      </c>
      <c r="C43" t="s">
        <v>72</v>
      </c>
      <c r="D43" t="s">
        <v>30</v>
      </c>
      <c r="E43">
        <v>42.5</v>
      </c>
      <c r="F43" s="7">
        <f t="shared" si="0"/>
        <v>457.46619271016317</v>
      </c>
      <c r="G43" s="5" t="s">
        <v>77</v>
      </c>
      <c r="K43" t="s">
        <v>75</v>
      </c>
      <c r="L43" t="s">
        <v>75</v>
      </c>
      <c r="N43" t="s">
        <v>75</v>
      </c>
    </row>
    <row r="44" spans="1:14">
      <c r="A44" s="5" t="s">
        <v>21</v>
      </c>
      <c r="B44">
        <v>115</v>
      </c>
      <c r="C44" t="s">
        <v>72</v>
      </c>
      <c r="D44" t="s">
        <v>30</v>
      </c>
      <c r="E44">
        <v>42.2</v>
      </c>
      <c r="F44" s="7">
        <f t="shared" si="0"/>
        <v>454.23701958515034</v>
      </c>
      <c r="G44" s="5" t="s">
        <v>77</v>
      </c>
      <c r="K44" t="s">
        <v>75</v>
      </c>
      <c r="L44" t="s">
        <v>75</v>
      </c>
      <c r="N44" t="s">
        <v>75</v>
      </c>
    </row>
    <row r="45" spans="1:14">
      <c r="A45" s="5" t="s">
        <v>21</v>
      </c>
      <c r="B45">
        <v>201</v>
      </c>
      <c r="C45" t="s">
        <v>137</v>
      </c>
      <c r="D45" t="s">
        <v>30</v>
      </c>
      <c r="E45">
        <v>39.799999999999997</v>
      </c>
      <c r="F45" s="7">
        <f t="shared" si="0"/>
        <v>428.40363458504692</v>
      </c>
      <c r="G45" s="5" t="s">
        <v>77</v>
      </c>
      <c r="K45" t="s">
        <v>75</v>
      </c>
      <c r="L45" t="s">
        <v>75</v>
      </c>
      <c r="N45" t="s">
        <v>75</v>
      </c>
    </row>
    <row r="46" spans="1:14">
      <c r="A46" s="5" t="s">
        <v>21</v>
      </c>
      <c r="B46">
        <v>202</v>
      </c>
      <c r="C46" t="s">
        <v>137</v>
      </c>
      <c r="D46" t="s">
        <v>30</v>
      </c>
      <c r="E46">
        <v>38.5</v>
      </c>
      <c r="F46" s="7">
        <f t="shared" si="0"/>
        <v>414.41055104332429</v>
      </c>
      <c r="G46" s="5" t="s">
        <v>77</v>
      </c>
      <c r="K46" t="s">
        <v>75</v>
      </c>
      <c r="L46" t="s">
        <v>75</v>
      </c>
      <c r="N46" t="s">
        <v>75</v>
      </c>
    </row>
    <row r="47" spans="1:14">
      <c r="A47" s="5" t="s">
        <v>21</v>
      </c>
      <c r="B47">
        <v>203</v>
      </c>
      <c r="C47" t="s">
        <v>137</v>
      </c>
      <c r="D47" t="s">
        <v>30</v>
      </c>
      <c r="E47">
        <v>44.1</v>
      </c>
      <c r="F47" s="7">
        <f t="shared" si="0"/>
        <v>474.68844937689875</v>
      </c>
      <c r="G47" s="5" t="s">
        <v>77</v>
      </c>
      <c r="K47" t="s">
        <v>75</v>
      </c>
      <c r="L47" t="s">
        <v>75</v>
      </c>
      <c r="N47" t="s">
        <v>75</v>
      </c>
    </row>
    <row r="48" spans="1:14">
      <c r="A48" s="5" t="s">
        <v>21</v>
      </c>
      <c r="B48">
        <v>204</v>
      </c>
      <c r="C48" t="s">
        <v>137</v>
      </c>
      <c r="D48" t="s">
        <v>35</v>
      </c>
      <c r="E48">
        <v>54.2</v>
      </c>
      <c r="F48" s="7">
        <f t="shared" si="0"/>
        <v>583.40394458566698</v>
      </c>
      <c r="G48" s="5" t="s">
        <v>77</v>
      </c>
      <c r="K48" t="s">
        <v>75</v>
      </c>
      <c r="L48" t="s">
        <v>75</v>
      </c>
      <c r="N48" t="s">
        <v>31</v>
      </c>
    </row>
    <row r="49" spans="1:14">
      <c r="A49" s="5" t="s">
        <v>21</v>
      </c>
      <c r="B49">
        <v>205</v>
      </c>
      <c r="C49" t="s">
        <v>137</v>
      </c>
      <c r="D49" t="s">
        <v>30</v>
      </c>
      <c r="E49">
        <v>42.9</v>
      </c>
      <c r="F49" s="7">
        <f t="shared" si="0"/>
        <v>461.77175687684706</v>
      </c>
      <c r="G49" s="5" t="s">
        <v>77</v>
      </c>
      <c r="K49" t="s">
        <v>75</v>
      </c>
      <c r="L49" t="s">
        <v>75</v>
      </c>
      <c r="N49" t="s">
        <v>75</v>
      </c>
    </row>
    <row r="50" spans="1:14">
      <c r="A50" s="5" t="s">
        <v>21</v>
      </c>
      <c r="B50">
        <v>206</v>
      </c>
      <c r="C50" t="s">
        <v>137</v>
      </c>
      <c r="D50" t="s">
        <v>30</v>
      </c>
      <c r="E50">
        <v>38.4</v>
      </c>
      <c r="F50" s="7">
        <f t="shared" si="0"/>
        <v>413.33416000165334</v>
      </c>
      <c r="G50" s="5" t="s">
        <v>77</v>
      </c>
      <c r="K50" t="s">
        <v>75</v>
      </c>
      <c r="L50" t="s">
        <v>75</v>
      </c>
      <c r="N50" t="s">
        <v>75</v>
      </c>
    </row>
    <row r="51" spans="1:14">
      <c r="A51" s="5" t="s">
        <v>21</v>
      </c>
      <c r="B51">
        <v>207</v>
      </c>
      <c r="C51" t="s">
        <v>137</v>
      </c>
      <c r="D51" t="s">
        <v>30</v>
      </c>
      <c r="E51">
        <v>38.200000000000003</v>
      </c>
      <c r="F51" s="7">
        <f t="shared" si="0"/>
        <v>411.18137791831145</v>
      </c>
      <c r="G51" s="5" t="s">
        <v>77</v>
      </c>
      <c r="K51" t="s">
        <v>75</v>
      </c>
      <c r="L51" t="s">
        <v>75</v>
      </c>
      <c r="N51" t="s">
        <v>75</v>
      </c>
    </row>
    <row r="52" spans="1:14">
      <c r="A52" s="5" t="s">
        <v>21</v>
      </c>
      <c r="B52">
        <v>208</v>
      </c>
      <c r="C52" t="s">
        <v>137</v>
      </c>
      <c r="D52" t="s">
        <v>30</v>
      </c>
      <c r="E52">
        <v>37.299999999999997</v>
      </c>
      <c r="F52" s="7">
        <f t="shared" si="0"/>
        <v>401.49385854327261</v>
      </c>
      <c r="G52" s="5" t="s">
        <v>77</v>
      </c>
      <c r="K52" t="s">
        <v>75</v>
      </c>
      <c r="L52" t="s">
        <v>75</v>
      </c>
      <c r="N52" t="s">
        <v>75</v>
      </c>
    </row>
    <row r="53" spans="1:14">
      <c r="A53" s="5" t="s">
        <v>21</v>
      </c>
      <c r="B53">
        <v>209</v>
      </c>
      <c r="C53" t="s">
        <v>137</v>
      </c>
      <c r="D53" t="s">
        <v>35</v>
      </c>
      <c r="E53">
        <v>50.9</v>
      </c>
      <c r="F53" s="7">
        <f t="shared" si="0"/>
        <v>547.88304021052477</v>
      </c>
      <c r="G53" s="5" t="s">
        <v>77</v>
      </c>
      <c r="K53" t="s">
        <v>75</v>
      </c>
      <c r="L53" t="s">
        <v>75</v>
      </c>
      <c r="N53" t="s">
        <v>75</v>
      </c>
    </row>
    <row r="54" spans="1:14">
      <c r="A54" s="5" t="s">
        <v>21</v>
      </c>
      <c r="B54">
        <v>210</v>
      </c>
      <c r="C54" t="s">
        <v>137</v>
      </c>
      <c r="D54" t="s">
        <v>30</v>
      </c>
      <c r="E54">
        <v>42</v>
      </c>
      <c r="F54" s="7">
        <f t="shared" si="0"/>
        <v>452.08423750180833</v>
      </c>
      <c r="G54" s="5" t="s">
        <v>77</v>
      </c>
      <c r="K54" t="s">
        <v>75</v>
      </c>
      <c r="L54" t="s">
        <v>75</v>
      </c>
      <c r="N54" t="s">
        <v>75</v>
      </c>
    </row>
    <row r="55" spans="1:14">
      <c r="A55" s="5" t="s">
        <v>21</v>
      </c>
      <c r="B55">
        <v>211</v>
      </c>
      <c r="C55" t="s">
        <v>137</v>
      </c>
      <c r="D55" t="s">
        <v>30</v>
      </c>
      <c r="E55">
        <v>42</v>
      </c>
      <c r="F55" s="7">
        <f t="shared" si="0"/>
        <v>452.08423750180833</v>
      </c>
      <c r="G55" s="5" t="s">
        <v>77</v>
      </c>
      <c r="K55" t="s">
        <v>75</v>
      </c>
      <c r="L55" t="s">
        <v>75</v>
      </c>
      <c r="N55" t="s">
        <v>75</v>
      </c>
    </row>
    <row r="56" spans="1:14">
      <c r="A56" s="5" t="s">
        <v>21</v>
      </c>
      <c r="B56">
        <v>212</v>
      </c>
      <c r="C56" t="s">
        <v>137</v>
      </c>
      <c r="D56" t="s">
        <v>35</v>
      </c>
      <c r="E56">
        <v>50.7</v>
      </c>
      <c r="F56" s="7">
        <f t="shared" si="0"/>
        <v>545.73025812718299</v>
      </c>
      <c r="G56" s="5" t="s">
        <v>77</v>
      </c>
      <c r="K56" t="s">
        <v>75</v>
      </c>
      <c r="L56" t="s">
        <v>75</v>
      </c>
      <c r="N56" t="s">
        <v>75</v>
      </c>
    </row>
    <row r="57" spans="1:14">
      <c r="A57" s="5" t="s">
        <v>21</v>
      </c>
      <c r="B57">
        <v>213</v>
      </c>
      <c r="C57" t="s">
        <v>137</v>
      </c>
      <c r="D57" t="s">
        <v>30</v>
      </c>
      <c r="E57">
        <v>42.2</v>
      </c>
      <c r="F57" s="7">
        <f t="shared" si="0"/>
        <v>454.23701958515034</v>
      </c>
      <c r="G57" s="5" t="s">
        <v>77</v>
      </c>
      <c r="K57" t="s">
        <v>75</v>
      </c>
      <c r="L57" t="s">
        <v>75</v>
      </c>
      <c r="N57" t="s">
        <v>75</v>
      </c>
    </row>
    <row r="58" spans="1:14">
      <c r="A58" s="5" t="s">
        <v>21</v>
      </c>
      <c r="B58">
        <v>214</v>
      </c>
      <c r="C58" t="s">
        <v>137</v>
      </c>
      <c r="D58" t="s">
        <v>30</v>
      </c>
      <c r="E58">
        <v>43.8</v>
      </c>
      <c r="F58" s="7">
        <f t="shared" si="0"/>
        <v>471.4592762518858</v>
      </c>
      <c r="G58" s="5" t="s">
        <v>77</v>
      </c>
      <c r="K58" t="s">
        <v>75</v>
      </c>
      <c r="L58" t="s">
        <v>75</v>
      </c>
      <c r="N58" t="s">
        <v>75</v>
      </c>
    </row>
    <row r="59" spans="1:14">
      <c r="A59" s="5" t="s">
        <v>21</v>
      </c>
      <c r="B59">
        <v>215</v>
      </c>
      <c r="C59" t="s">
        <v>137</v>
      </c>
      <c r="D59" t="s">
        <v>30</v>
      </c>
      <c r="E59">
        <v>43.3</v>
      </c>
      <c r="F59" s="7">
        <f t="shared" si="0"/>
        <v>466.0773210435309</v>
      </c>
      <c r="G59" s="5" t="s">
        <v>77</v>
      </c>
      <c r="K59" t="s">
        <v>75</v>
      </c>
      <c r="L59" t="s">
        <v>75</v>
      </c>
      <c r="N59" t="s">
        <v>75</v>
      </c>
    </row>
    <row r="60" spans="1:14">
      <c r="A60" s="5" t="s">
        <v>21</v>
      </c>
      <c r="B60">
        <v>301</v>
      </c>
      <c r="C60" t="s">
        <v>138</v>
      </c>
      <c r="D60" t="s">
        <v>30</v>
      </c>
      <c r="E60">
        <v>41.9</v>
      </c>
      <c r="F60" s="7">
        <f t="shared" si="0"/>
        <v>451.00784646013739</v>
      </c>
      <c r="G60" s="5" t="s">
        <v>77</v>
      </c>
      <c r="K60" t="s">
        <v>75</v>
      </c>
      <c r="L60" t="s">
        <v>75</v>
      </c>
      <c r="N60" t="s">
        <v>75</v>
      </c>
    </row>
    <row r="61" spans="1:14">
      <c r="A61" s="5" t="s">
        <v>21</v>
      </c>
      <c r="B61">
        <v>302</v>
      </c>
      <c r="C61" t="s">
        <v>138</v>
      </c>
      <c r="D61" t="s">
        <v>35</v>
      </c>
      <c r="E61">
        <v>52.6</v>
      </c>
      <c r="F61" s="7">
        <f t="shared" si="0"/>
        <v>566.1816879189314</v>
      </c>
      <c r="G61" s="5" t="s">
        <v>77</v>
      </c>
      <c r="K61" t="s">
        <v>75</v>
      </c>
      <c r="L61" t="s">
        <v>75</v>
      </c>
      <c r="N61" t="s">
        <v>31</v>
      </c>
    </row>
    <row r="62" spans="1:14">
      <c r="A62" s="5" t="s">
        <v>21</v>
      </c>
      <c r="B62">
        <v>303</v>
      </c>
      <c r="C62" t="s">
        <v>138</v>
      </c>
      <c r="D62" t="s">
        <v>35</v>
      </c>
      <c r="E62">
        <v>52.4</v>
      </c>
      <c r="F62" s="7">
        <f t="shared" si="0"/>
        <v>564.0289058355894</v>
      </c>
      <c r="G62" s="5" t="s">
        <v>77</v>
      </c>
      <c r="K62" t="s">
        <v>75</v>
      </c>
      <c r="L62" t="s">
        <v>75</v>
      </c>
      <c r="N62" t="s">
        <v>31</v>
      </c>
    </row>
    <row r="63" spans="1:14">
      <c r="A63" s="5" t="s">
        <v>21</v>
      </c>
      <c r="B63">
        <v>304</v>
      </c>
      <c r="C63" t="s">
        <v>138</v>
      </c>
      <c r="D63" t="s">
        <v>30</v>
      </c>
      <c r="E63">
        <v>41</v>
      </c>
      <c r="F63" s="7">
        <f t="shared" si="0"/>
        <v>441.3203270850986</v>
      </c>
      <c r="G63" s="5" t="s">
        <v>77</v>
      </c>
      <c r="K63" t="s">
        <v>75</v>
      </c>
      <c r="L63" t="s">
        <v>75</v>
      </c>
      <c r="N63" t="s">
        <v>75</v>
      </c>
    </row>
    <row r="64" spans="1:14">
      <c r="A64" s="5" t="s">
        <v>21</v>
      </c>
      <c r="B64">
        <v>305</v>
      </c>
      <c r="C64" t="s">
        <v>138</v>
      </c>
      <c r="D64" t="s">
        <v>30</v>
      </c>
      <c r="E64">
        <v>37.5</v>
      </c>
      <c r="F64" s="7">
        <f t="shared" si="0"/>
        <v>403.64664062661461</v>
      </c>
      <c r="G64" s="5" t="s">
        <v>77</v>
      </c>
      <c r="K64" t="s">
        <v>75</v>
      </c>
      <c r="L64" t="s">
        <v>75</v>
      </c>
      <c r="N64" t="s">
        <v>75</v>
      </c>
    </row>
    <row r="65" spans="1:14">
      <c r="A65" s="5" t="s">
        <v>21</v>
      </c>
      <c r="B65">
        <v>306</v>
      </c>
      <c r="C65" t="s">
        <v>138</v>
      </c>
      <c r="D65" t="s">
        <v>30</v>
      </c>
      <c r="E65">
        <v>39.299999999999997</v>
      </c>
      <c r="F65" s="7">
        <f t="shared" si="0"/>
        <v>423.02167937669202</v>
      </c>
      <c r="G65" s="5" t="s">
        <v>77</v>
      </c>
      <c r="K65" t="s">
        <v>75</v>
      </c>
      <c r="L65" t="s">
        <v>75</v>
      </c>
      <c r="N65" t="s">
        <v>75</v>
      </c>
    </row>
    <row r="66" spans="1:14">
      <c r="A66" s="5" t="s">
        <v>21</v>
      </c>
      <c r="B66">
        <v>307</v>
      </c>
      <c r="C66" t="s">
        <v>138</v>
      </c>
      <c r="D66" t="s">
        <v>35</v>
      </c>
      <c r="E66">
        <v>55</v>
      </c>
      <c r="F66" s="7">
        <f t="shared" si="0"/>
        <v>592.01507291903476</v>
      </c>
      <c r="G66" s="5" t="s">
        <v>77</v>
      </c>
      <c r="K66" t="s">
        <v>75</v>
      </c>
      <c r="L66" t="s">
        <v>75</v>
      </c>
      <c r="N66" t="s">
        <v>75</v>
      </c>
    </row>
    <row r="67" spans="1:14">
      <c r="A67" s="8" t="s">
        <v>126</v>
      </c>
      <c r="B67">
        <v>1</v>
      </c>
      <c r="C67" t="s">
        <v>78</v>
      </c>
      <c r="D67" t="s">
        <v>30</v>
      </c>
      <c r="E67">
        <v>47</v>
      </c>
      <c r="F67" s="7">
        <f t="shared" si="0"/>
        <v>505.90378958535695</v>
      </c>
      <c r="G67" s="8" t="s">
        <v>125</v>
      </c>
      <c r="H67" s="9">
        <v>45874</v>
      </c>
      <c r="I67" s="9">
        <v>45875</v>
      </c>
      <c r="J67">
        <v>39</v>
      </c>
      <c r="K67" t="s">
        <v>75</v>
      </c>
      <c r="L67" t="s">
        <v>31</v>
      </c>
      <c r="N67" t="s">
        <v>75</v>
      </c>
    </row>
    <row r="68" spans="1:14">
      <c r="A68" s="8" t="s">
        <v>126</v>
      </c>
      <c r="B68">
        <v>2</v>
      </c>
      <c r="C68" t="s">
        <v>78</v>
      </c>
      <c r="D68" t="s">
        <v>30</v>
      </c>
      <c r="E68">
        <v>48</v>
      </c>
      <c r="F68" s="7">
        <f t="shared" si="0"/>
        <v>516.66770000206668</v>
      </c>
      <c r="G68" s="8" t="s">
        <v>125</v>
      </c>
      <c r="H68" s="9">
        <v>45826</v>
      </c>
      <c r="I68" s="9">
        <v>45828</v>
      </c>
      <c r="K68" t="s">
        <v>75</v>
      </c>
      <c r="L68" t="s">
        <v>31</v>
      </c>
      <c r="N68" t="s">
        <v>75</v>
      </c>
    </row>
    <row r="69" spans="1:14">
      <c r="A69" s="8" t="s">
        <v>126</v>
      </c>
      <c r="B69">
        <v>3</v>
      </c>
      <c r="C69" t="s">
        <v>78</v>
      </c>
      <c r="D69" t="s">
        <v>30</v>
      </c>
      <c r="E69">
        <v>40</v>
      </c>
      <c r="F69" s="7">
        <f t="shared" ref="F69:F132" si="1">CONVERT(E69,"m^2","ft^2")</f>
        <v>430.55641666838892</v>
      </c>
      <c r="G69" s="8" t="s">
        <v>125</v>
      </c>
      <c r="H69" s="9">
        <v>45916</v>
      </c>
      <c r="I69" s="9"/>
      <c r="K69" t="s">
        <v>75</v>
      </c>
      <c r="L69" t="s">
        <v>31</v>
      </c>
      <c r="N69" t="s">
        <v>75</v>
      </c>
    </row>
    <row r="70" spans="1:14">
      <c r="A70" s="8" t="s">
        <v>126</v>
      </c>
      <c r="B70">
        <v>4</v>
      </c>
      <c r="C70" t="s">
        <v>78</v>
      </c>
      <c r="D70" t="s">
        <v>30</v>
      </c>
      <c r="E70">
        <v>40</v>
      </c>
      <c r="F70" s="7">
        <f t="shared" si="1"/>
        <v>430.55641666838892</v>
      </c>
      <c r="G70" s="8" t="s">
        <v>125</v>
      </c>
      <c r="H70" s="9">
        <v>45805</v>
      </c>
      <c r="I70" s="9">
        <v>45807</v>
      </c>
      <c r="K70" t="s">
        <v>75</v>
      </c>
      <c r="L70" t="s">
        <v>31</v>
      </c>
      <c r="N70" t="s">
        <v>75</v>
      </c>
    </row>
    <row r="71" spans="1:14">
      <c r="A71" s="8" t="s">
        <v>126</v>
      </c>
      <c r="B71">
        <v>5</v>
      </c>
      <c r="C71" t="s">
        <v>78</v>
      </c>
      <c r="D71" t="s">
        <v>30</v>
      </c>
      <c r="E71">
        <v>43</v>
      </c>
      <c r="F71" s="7">
        <f t="shared" si="1"/>
        <v>462.84814791851807</v>
      </c>
      <c r="G71" s="8" t="s">
        <v>125</v>
      </c>
      <c r="H71" s="9">
        <v>46072</v>
      </c>
      <c r="I71" s="9">
        <v>46087</v>
      </c>
      <c r="K71" t="s">
        <v>75</v>
      </c>
      <c r="L71" t="s">
        <v>31</v>
      </c>
      <c r="N71" t="s">
        <v>75</v>
      </c>
    </row>
    <row r="72" spans="1:14">
      <c r="A72" s="8" t="s">
        <v>126</v>
      </c>
      <c r="B72">
        <v>6</v>
      </c>
      <c r="C72" t="s">
        <v>78</v>
      </c>
      <c r="D72" t="s">
        <v>30</v>
      </c>
      <c r="E72">
        <v>42</v>
      </c>
      <c r="F72" s="7">
        <f t="shared" si="1"/>
        <v>452.08423750180833</v>
      </c>
      <c r="G72" s="8" t="s">
        <v>125</v>
      </c>
      <c r="H72" s="9">
        <v>45888</v>
      </c>
      <c r="I72" s="9">
        <v>45903</v>
      </c>
      <c r="K72" t="s">
        <v>75</v>
      </c>
      <c r="L72" t="s">
        <v>31</v>
      </c>
      <c r="N72" t="s">
        <v>75</v>
      </c>
    </row>
    <row r="73" spans="1:14">
      <c r="A73" s="8" t="s">
        <v>126</v>
      </c>
      <c r="B73">
        <v>7</v>
      </c>
      <c r="C73" t="s">
        <v>78</v>
      </c>
      <c r="D73" t="s">
        <v>30</v>
      </c>
      <c r="E73">
        <v>43</v>
      </c>
      <c r="F73" s="7">
        <f t="shared" si="1"/>
        <v>462.84814791851807</v>
      </c>
      <c r="G73" s="8" t="s">
        <v>125</v>
      </c>
      <c r="H73" s="9">
        <v>45804</v>
      </c>
      <c r="I73" s="9">
        <v>45805</v>
      </c>
      <c r="J73">
        <v>46</v>
      </c>
      <c r="K73" t="s">
        <v>75</v>
      </c>
      <c r="L73" t="s">
        <v>31</v>
      </c>
      <c r="N73" t="s">
        <v>75</v>
      </c>
    </row>
    <row r="74" spans="1:14">
      <c r="A74" s="8" t="s">
        <v>126</v>
      </c>
      <c r="B74">
        <v>8</v>
      </c>
      <c r="C74" t="s">
        <v>78</v>
      </c>
      <c r="D74" t="s">
        <v>30</v>
      </c>
      <c r="E74">
        <v>42</v>
      </c>
      <c r="F74" s="7">
        <f t="shared" si="1"/>
        <v>452.08423750180833</v>
      </c>
      <c r="G74" s="8" t="s">
        <v>125</v>
      </c>
      <c r="H74" s="9">
        <v>45805</v>
      </c>
      <c r="I74" s="9">
        <v>45806</v>
      </c>
      <c r="K74" t="s">
        <v>75</v>
      </c>
      <c r="L74" t="s">
        <v>31</v>
      </c>
      <c r="N74" t="s">
        <v>75</v>
      </c>
    </row>
    <row r="75" spans="1:14">
      <c r="A75" s="8" t="s">
        <v>126</v>
      </c>
      <c r="B75">
        <v>9</v>
      </c>
      <c r="C75" t="s">
        <v>78</v>
      </c>
      <c r="D75" t="s">
        <v>30</v>
      </c>
      <c r="E75">
        <v>43</v>
      </c>
      <c r="F75" s="7">
        <f t="shared" si="1"/>
        <v>462.84814791851807</v>
      </c>
      <c r="G75" s="8" t="s">
        <v>125</v>
      </c>
      <c r="H75" s="9">
        <v>45805</v>
      </c>
      <c r="I75" s="9">
        <v>45812</v>
      </c>
      <c r="J75">
        <v>45</v>
      </c>
      <c r="K75" t="s">
        <v>75</v>
      </c>
      <c r="L75" t="s">
        <v>31</v>
      </c>
      <c r="N75" t="s">
        <v>75</v>
      </c>
    </row>
    <row r="76" spans="1:14">
      <c r="A76" s="8" t="s">
        <v>126</v>
      </c>
      <c r="B76">
        <v>10</v>
      </c>
      <c r="C76" t="s">
        <v>78</v>
      </c>
      <c r="D76" t="s">
        <v>30</v>
      </c>
      <c r="E76">
        <v>40</v>
      </c>
      <c r="F76" s="7">
        <f t="shared" si="1"/>
        <v>430.55641666838892</v>
      </c>
      <c r="G76" s="8" t="s">
        <v>125</v>
      </c>
      <c r="H76" s="9">
        <v>45849</v>
      </c>
      <c r="I76" s="9">
        <v>45856</v>
      </c>
      <c r="K76" t="s">
        <v>75</v>
      </c>
      <c r="L76" t="s">
        <v>31</v>
      </c>
      <c r="N76" t="s">
        <v>75</v>
      </c>
    </row>
    <row r="77" spans="1:14">
      <c r="A77" s="8" t="s">
        <v>126</v>
      </c>
      <c r="B77">
        <v>11</v>
      </c>
      <c r="C77" t="s">
        <v>72</v>
      </c>
      <c r="D77" t="s">
        <v>38</v>
      </c>
      <c r="E77">
        <v>80</v>
      </c>
      <c r="F77" s="7">
        <f t="shared" si="1"/>
        <v>861.11283333677784</v>
      </c>
      <c r="G77" s="8" t="s">
        <v>77</v>
      </c>
      <c r="H77" s="9"/>
      <c r="I77" s="9"/>
      <c r="K77" t="s">
        <v>31</v>
      </c>
      <c r="L77" t="s">
        <v>75</v>
      </c>
      <c r="N77" t="s">
        <v>75</v>
      </c>
    </row>
    <row r="78" spans="1:14">
      <c r="A78" s="8" t="s">
        <v>126</v>
      </c>
      <c r="B78">
        <v>12</v>
      </c>
      <c r="C78" t="s">
        <v>72</v>
      </c>
      <c r="D78" t="s">
        <v>38</v>
      </c>
      <c r="E78">
        <v>63</v>
      </c>
      <c r="F78" s="7">
        <f t="shared" si="1"/>
        <v>678.12635625271253</v>
      </c>
      <c r="G78" s="8" t="s">
        <v>125</v>
      </c>
      <c r="H78" s="9">
        <v>46009</v>
      </c>
      <c r="I78" s="9">
        <v>46378</v>
      </c>
      <c r="J78">
        <v>41</v>
      </c>
      <c r="K78" t="s">
        <v>31</v>
      </c>
      <c r="L78" t="s">
        <v>75</v>
      </c>
      <c r="N78" t="s">
        <v>75</v>
      </c>
    </row>
    <row r="79" spans="1:14">
      <c r="A79" s="8" t="s">
        <v>126</v>
      </c>
      <c r="B79">
        <v>13</v>
      </c>
      <c r="C79" t="s">
        <v>72</v>
      </c>
      <c r="D79" t="s">
        <v>30</v>
      </c>
      <c r="E79">
        <v>44</v>
      </c>
      <c r="F79" s="7">
        <f t="shared" si="1"/>
        <v>473.6120583352278</v>
      </c>
      <c r="G79" s="8" t="s">
        <v>125</v>
      </c>
      <c r="H79" s="9">
        <v>45863</v>
      </c>
      <c r="I79" s="9">
        <v>45866</v>
      </c>
      <c r="J79">
        <v>30</v>
      </c>
      <c r="K79" t="s">
        <v>75</v>
      </c>
      <c r="L79" t="s">
        <v>75</v>
      </c>
      <c r="N79" t="s">
        <v>75</v>
      </c>
    </row>
    <row r="80" spans="1:14">
      <c r="A80" s="8" t="s">
        <v>126</v>
      </c>
      <c r="B80">
        <v>14</v>
      </c>
      <c r="C80" t="s">
        <v>72</v>
      </c>
      <c r="D80" t="s">
        <v>30</v>
      </c>
      <c r="E80">
        <v>44</v>
      </c>
      <c r="F80" s="7">
        <f t="shared" si="1"/>
        <v>473.6120583352278</v>
      </c>
      <c r="G80" s="8" t="s">
        <v>125</v>
      </c>
      <c r="H80" s="9">
        <v>45814</v>
      </c>
      <c r="I80" s="9">
        <v>45819</v>
      </c>
      <c r="J80">
        <v>29</v>
      </c>
      <c r="K80" t="s">
        <v>75</v>
      </c>
      <c r="L80" t="s">
        <v>75</v>
      </c>
      <c r="N80" t="s">
        <v>75</v>
      </c>
    </row>
    <row r="81" spans="1:14">
      <c r="A81" s="8" t="s">
        <v>126</v>
      </c>
      <c r="B81">
        <v>15</v>
      </c>
      <c r="C81" t="s">
        <v>72</v>
      </c>
      <c r="D81" t="s">
        <v>30</v>
      </c>
      <c r="E81">
        <v>39</v>
      </c>
      <c r="F81" s="7">
        <f t="shared" si="1"/>
        <v>419.79250625167919</v>
      </c>
      <c r="G81" s="8" t="s">
        <v>125</v>
      </c>
      <c r="H81" s="9">
        <v>45918</v>
      </c>
      <c r="I81" s="9">
        <v>45926</v>
      </c>
      <c r="K81" t="s">
        <v>75</v>
      </c>
      <c r="L81" t="s">
        <v>75</v>
      </c>
      <c r="N81" t="s">
        <v>75</v>
      </c>
    </row>
    <row r="82" spans="1:14">
      <c r="A82" s="8" t="s">
        <v>126</v>
      </c>
      <c r="B82">
        <v>16</v>
      </c>
      <c r="C82" t="s">
        <v>72</v>
      </c>
      <c r="D82" t="s">
        <v>30</v>
      </c>
      <c r="E82">
        <v>41</v>
      </c>
      <c r="F82" s="7">
        <f t="shared" si="1"/>
        <v>441.3203270850986</v>
      </c>
      <c r="G82" s="8" t="s">
        <v>125</v>
      </c>
      <c r="H82" s="9">
        <v>45807</v>
      </c>
      <c r="I82" s="9">
        <v>45807</v>
      </c>
      <c r="K82" t="s">
        <v>75</v>
      </c>
      <c r="L82" t="s">
        <v>75</v>
      </c>
      <c r="N82" t="s">
        <v>75</v>
      </c>
    </row>
    <row r="83" spans="1:14">
      <c r="A83" s="8" t="s">
        <v>126</v>
      </c>
      <c r="B83">
        <v>17</v>
      </c>
      <c r="C83" t="s">
        <v>72</v>
      </c>
      <c r="D83" t="s">
        <v>38</v>
      </c>
      <c r="E83">
        <v>63</v>
      </c>
      <c r="F83" s="7">
        <f t="shared" si="1"/>
        <v>678.12635625271253</v>
      </c>
      <c r="G83" s="8" t="s">
        <v>125</v>
      </c>
      <c r="H83" s="9">
        <v>45805</v>
      </c>
      <c r="I83" s="9">
        <v>45819</v>
      </c>
      <c r="K83" t="s">
        <v>31</v>
      </c>
      <c r="L83" t="s">
        <v>75</v>
      </c>
      <c r="N83" t="s">
        <v>75</v>
      </c>
    </row>
    <row r="84" spans="1:14">
      <c r="A84" s="8" t="s">
        <v>126</v>
      </c>
      <c r="B84">
        <v>18</v>
      </c>
      <c r="C84" t="s">
        <v>72</v>
      </c>
      <c r="D84" t="s">
        <v>38</v>
      </c>
      <c r="E84">
        <v>62</v>
      </c>
      <c r="F84" s="7">
        <f t="shared" si="1"/>
        <v>667.36244583600273</v>
      </c>
      <c r="G84" s="8" t="s">
        <v>125</v>
      </c>
      <c r="H84" s="9">
        <v>45833</v>
      </c>
      <c r="I84" s="9">
        <v>45833</v>
      </c>
      <c r="J84">
        <v>23</v>
      </c>
      <c r="K84" t="s">
        <v>31</v>
      </c>
      <c r="L84" t="s">
        <v>75</v>
      </c>
      <c r="N84" t="s">
        <v>75</v>
      </c>
    </row>
    <row r="85" spans="1:14">
      <c r="A85" s="8" t="s">
        <v>126</v>
      </c>
      <c r="B85">
        <v>19</v>
      </c>
      <c r="C85" t="s">
        <v>72</v>
      </c>
      <c r="D85" t="s">
        <v>38</v>
      </c>
      <c r="E85">
        <v>64</v>
      </c>
      <c r="F85" s="7">
        <f t="shared" si="1"/>
        <v>688.8902666694222</v>
      </c>
      <c r="G85" s="8" t="s">
        <v>125</v>
      </c>
      <c r="H85" s="9">
        <v>45869</v>
      </c>
      <c r="I85" s="9">
        <v>45882</v>
      </c>
      <c r="J85">
        <v>49</v>
      </c>
      <c r="K85" t="s">
        <v>31</v>
      </c>
      <c r="L85" t="s">
        <v>75</v>
      </c>
      <c r="N85" t="s">
        <v>75</v>
      </c>
    </row>
    <row r="86" spans="1:14">
      <c r="A86" s="8" t="s">
        <v>126</v>
      </c>
      <c r="B86">
        <v>20</v>
      </c>
      <c r="C86" t="s">
        <v>72</v>
      </c>
      <c r="D86" t="s">
        <v>38</v>
      </c>
      <c r="E86">
        <v>62</v>
      </c>
      <c r="F86" s="7">
        <f t="shared" si="1"/>
        <v>667.36244583600273</v>
      </c>
      <c r="G86" s="8" t="s">
        <v>125</v>
      </c>
      <c r="H86" s="9">
        <v>45903</v>
      </c>
      <c r="I86" s="9">
        <v>45905</v>
      </c>
      <c r="J86">
        <v>33</v>
      </c>
      <c r="K86" t="s">
        <v>31</v>
      </c>
      <c r="L86" t="s">
        <v>75</v>
      </c>
      <c r="N86" t="s">
        <v>75</v>
      </c>
    </row>
    <row r="87" spans="1:14">
      <c r="A87" s="8" t="s">
        <v>126</v>
      </c>
      <c r="B87">
        <v>21</v>
      </c>
      <c r="C87" t="s">
        <v>72</v>
      </c>
      <c r="D87" t="s">
        <v>38</v>
      </c>
      <c r="E87">
        <v>65</v>
      </c>
      <c r="F87" s="7">
        <f t="shared" si="1"/>
        <v>699.65417708613199</v>
      </c>
      <c r="G87" s="8" t="s">
        <v>125</v>
      </c>
      <c r="H87" s="9">
        <v>45856</v>
      </c>
      <c r="I87" s="9">
        <v>45856</v>
      </c>
      <c r="J87">
        <v>38</v>
      </c>
      <c r="K87" t="s">
        <v>31</v>
      </c>
      <c r="L87" t="s">
        <v>75</v>
      </c>
      <c r="N87" t="s">
        <v>75</v>
      </c>
    </row>
    <row r="88" spans="1:14">
      <c r="A88" s="8" t="s">
        <v>126</v>
      </c>
      <c r="B88">
        <v>22</v>
      </c>
      <c r="C88" t="s">
        <v>72</v>
      </c>
      <c r="D88" t="s">
        <v>38</v>
      </c>
      <c r="E88">
        <v>65</v>
      </c>
      <c r="F88" s="7">
        <f t="shared" si="1"/>
        <v>699.65417708613199</v>
      </c>
      <c r="G88" s="8" t="s">
        <v>122</v>
      </c>
      <c r="H88" s="9"/>
      <c r="I88" s="9"/>
      <c r="K88" t="s">
        <v>31</v>
      </c>
      <c r="L88" t="s">
        <v>75</v>
      </c>
      <c r="N88" t="s">
        <v>75</v>
      </c>
    </row>
    <row r="89" spans="1:14">
      <c r="A89" s="8" t="s">
        <v>126</v>
      </c>
      <c r="B89">
        <v>23</v>
      </c>
      <c r="C89" t="s">
        <v>72</v>
      </c>
      <c r="D89" t="s">
        <v>38</v>
      </c>
      <c r="E89">
        <v>62</v>
      </c>
      <c r="F89" s="7">
        <f t="shared" si="1"/>
        <v>667.36244583600273</v>
      </c>
      <c r="G89" s="8" t="s">
        <v>125</v>
      </c>
      <c r="H89" s="9">
        <v>45833</v>
      </c>
      <c r="I89" s="9">
        <v>45833</v>
      </c>
      <c r="J89">
        <v>24</v>
      </c>
      <c r="K89" t="s">
        <v>31</v>
      </c>
      <c r="L89" t="s">
        <v>75</v>
      </c>
      <c r="N89" t="s">
        <v>75</v>
      </c>
    </row>
    <row r="90" spans="1:14">
      <c r="A90" s="8" t="s">
        <v>126</v>
      </c>
      <c r="B90">
        <v>24</v>
      </c>
      <c r="C90" t="s">
        <v>137</v>
      </c>
      <c r="D90" t="s">
        <v>38</v>
      </c>
      <c r="E90">
        <v>80</v>
      </c>
      <c r="F90" s="7">
        <f t="shared" si="1"/>
        <v>861.11283333677784</v>
      </c>
      <c r="G90" s="8" t="s">
        <v>77</v>
      </c>
      <c r="H90" s="9"/>
      <c r="I90" s="9"/>
      <c r="K90" t="s">
        <v>31</v>
      </c>
      <c r="L90" t="s">
        <v>75</v>
      </c>
      <c r="N90" t="s">
        <v>75</v>
      </c>
    </row>
    <row r="91" spans="1:14">
      <c r="A91" s="8" t="s">
        <v>126</v>
      </c>
      <c r="B91">
        <v>25</v>
      </c>
      <c r="C91" t="s">
        <v>137</v>
      </c>
      <c r="D91" t="s">
        <v>38</v>
      </c>
      <c r="E91">
        <v>64</v>
      </c>
      <c r="F91" s="7">
        <f t="shared" si="1"/>
        <v>688.8902666694222</v>
      </c>
      <c r="G91" s="8" t="s">
        <v>125</v>
      </c>
      <c r="H91" s="9">
        <v>45821</v>
      </c>
      <c r="I91" s="9">
        <v>45835</v>
      </c>
      <c r="J91">
        <v>43</v>
      </c>
      <c r="K91" t="s">
        <v>31</v>
      </c>
      <c r="L91" t="s">
        <v>75</v>
      </c>
      <c r="N91" t="s">
        <v>75</v>
      </c>
    </row>
    <row r="92" spans="1:14">
      <c r="A92" s="8" t="s">
        <v>126</v>
      </c>
      <c r="B92">
        <v>26</v>
      </c>
      <c r="C92" t="s">
        <v>137</v>
      </c>
      <c r="D92" t="s">
        <v>30</v>
      </c>
      <c r="E92">
        <v>44</v>
      </c>
      <c r="F92" s="7">
        <f t="shared" si="1"/>
        <v>473.6120583352278</v>
      </c>
      <c r="G92" s="8" t="s">
        <v>125</v>
      </c>
      <c r="H92" s="9">
        <v>45806</v>
      </c>
      <c r="I92" s="9">
        <v>45805</v>
      </c>
      <c r="K92" t="s">
        <v>75</v>
      </c>
      <c r="L92" t="s">
        <v>75</v>
      </c>
      <c r="N92" t="s">
        <v>75</v>
      </c>
    </row>
    <row r="93" spans="1:14">
      <c r="A93" s="8" t="s">
        <v>126</v>
      </c>
      <c r="B93">
        <v>27</v>
      </c>
      <c r="C93" t="s">
        <v>137</v>
      </c>
      <c r="D93" t="s">
        <v>30</v>
      </c>
      <c r="E93">
        <v>44</v>
      </c>
      <c r="F93" s="7">
        <f t="shared" si="1"/>
        <v>473.6120583352278</v>
      </c>
      <c r="G93" s="8" t="s">
        <v>125</v>
      </c>
      <c r="H93" s="9">
        <v>45915</v>
      </c>
      <c r="I93" s="9">
        <v>45922</v>
      </c>
      <c r="J93">
        <v>35</v>
      </c>
      <c r="K93" t="s">
        <v>75</v>
      </c>
      <c r="L93" t="s">
        <v>75</v>
      </c>
      <c r="N93" t="s">
        <v>75</v>
      </c>
    </row>
    <row r="94" spans="1:14">
      <c r="A94" s="8" t="s">
        <v>126</v>
      </c>
      <c r="B94">
        <v>28</v>
      </c>
      <c r="C94" t="s">
        <v>137</v>
      </c>
      <c r="D94" t="s">
        <v>30</v>
      </c>
      <c r="E94">
        <v>41</v>
      </c>
      <c r="F94" s="7">
        <f t="shared" si="1"/>
        <v>441.3203270850986</v>
      </c>
      <c r="G94" s="8" t="s">
        <v>125</v>
      </c>
      <c r="H94" s="9">
        <v>45856</v>
      </c>
      <c r="I94" s="9">
        <v>45856</v>
      </c>
      <c r="K94" t="s">
        <v>75</v>
      </c>
      <c r="L94" t="s">
        <v>75</v>
      </c>
      <c r="N94" t="s">
        <v>75</v>
      </c>
    </row>
    <row r="95" spans="1:14">
      <c r="A95" s="8" t="s">
        <v>126</v>
      </c>
      <c r="B95">
        <v>29</v>
      </c>
      <c r="C95" t="s">
        <v>137</v>
      </c>
      <c r="D95" t="s">
        <v>30</v>
      </c>
      <c r="E95">
        <v>37</v>
      </c>
      <c r="F95" s="7">
        <f t="shared" si="1"/>
        <v>398.26468541825972</v>
      </c>
      <c r="G95" s="8" t="s">
        <v>122</v>
      </c>
      <c r="H95" s="9"/>
      <c r="I95" s="9"/>
      <c r="K95" t="s">
        <v>75</v>
      </c>
      <c r="L95" t="s">
        <v>75</v>
      </c>
      <c r="N95" t="s">
        <v>75</v>
      </c>
    </row>
    <row r="96" spans="1:14">
      <c r="A96" s="8" t="s">
        <v>126</v>
      </c>
      <c r="B96">
        <v>30</v>
      </c>
      <c r="C96" t="s">
        <v>137</v>
      </c>
      <c r="D96" t="s">
        <v>38</v>
      </c>
      <c r="E96">
        <v>61</v>
      </c>
      <c r="F96" s="7">
        <f t="shared" si="1"/>
        <v>656.59853541929306</v>
      </c>
      <c r="G96" s="8" t="s">
        <v>125</v>
      </c>
      <c r="H96" s="9">
        <v>45806</v>
      </c>
      <c r="I96" s="9">
        <v>45847</v>
      </c>
      <c r="J96">
        <v>31</v>
      </c>
      <c r="K96" t="s">
        <v>31</v>
      </c>
      <c r="L96" t="s">
        <v>75</v>
      </c>
      <c r="N96" t="s">
        <v>75</v>
      </c>
    </row>
    <row r="97" spans="1:14">
      <c r="A97" s="8" t="s">
        <v>126</v>
      </c>
      <c r="B97">
        <v>31</v>
      </c>
      <c r="C97" t="s">
        <v>137</v>
      </c>
      <c r="D97" t="s">
        <v>38</v>
      </c>
      <c r="E97">
        <v>61</v>
      </c>
      <c r="F97" s="7">
        <f t="shared" si="1"/>
        <v>656.59853541929306</v>
      </c>
      <c r="G97" s="8" t="s">
        <v>125</v>
      </c>
      <c r="H97" s="9">
        <v>45798</v>
      </c>
      <c r="I97" s="9">
        <v>45799</v>
      </c>
      <c r="J97">
        <v>18</v>
      </c>
      <c r="K97" t="s">
        <v>31</v>
      </c>
      <c r="L97" t="s">
        <v>75</v>
      </c>
      <c r="N97" t="s">
        <v>75</v>
      </c>
    </row>
    <row r="98" spans="1:14">
      <c r="A98" s="8" t="s">
        <v>126</v>
      </c>
      <c r="B98">
        <v>32</v>
      </c>
      <c r="C98" t="s">
        <v>137</v>
      </c>
      <c r="D98" t="s">
        <v>30</v>
      </c>
      <c r="E98">
        <v>38</v>
      </c>
      <c r="F98" s="7">
        <f t="shared" si="1"/>
        <v>409.02859583496945</v>
      </c>
      <c r="G98" s="8" t="s">
        <v>125</v>
      </c>
      <c r="H98" s="9">
        <v>45903</v>
      </c>
      <c r="I98" s="9">
        <v>45905</v>
      </c>
      <c r="J98">
        <v>27</v>
      </c>
      <c r="K98" t="s">
        <v>75</v>
      </c>
      <c r="L98" t="s">
        <v>75</v>
      </c>
      <c r="N98" t="s">
        <v>75</v>
      </c>
    </row>
    <row r="99" spans="1:14">
      <c r="A99" s="8" t="s">
        <v>126</v>
      </c>
      <c r="B99">
        <v>33</v>
      </c>
      <c r="C99" t="s">
        <v>137</v>
      </c>
      <c r="D99" t="s">
        <v>30</v>
      </c>
      <c r="E99">
        <v>38</v>
      </c>
      <c r="F99" s="7">
        <f t="shared" si="1"/>
        <v>409.02859583496945</v>
      </c>
      <c r="G99" s="8" t="s">
        <v>125</v>
      </c>
      <c r="H99" s="9">
        <v>45856</v>
      </c>
      <c r="I99" s="9">
        <v>45894</v>
      </c>
      <c r="K99" t="s">
        <v>75</v>
      </c>
      <c r="L99" t="s">
        <v>75</v>
      </c>
      <c r="N99" t="s">
        <v>75</v>
      </c>
    </row>
    <row r="100" spans="1:14">
      <c r="A100" s="8" t="s">
        <v>126</v>
      </c>
      <c r="B100">
        <v>34</v>
      </c>
      <c r="C100" t="s">
        <v>137</v>
      </c>
      <c r="D100" t="s">
        <v>30</v>
      </c>
      <c r="E100">
        <v>38</v>
      </c>
      <c r="F100" s="7">
        <f t="shared" si="1"/>
        <v>409.02859583496945</v>
      </c>
      <c r="G100" s="8" t="s">
        <v>125</v>
      </c>
      <c r="H100" s="9">
        <v>45940</v>
      </c>
      <c r="I100" s="9">
        <v>45961</v>
      </c>
      <c r="K100" t="s">
        <v>75</v>
      </c>
      <c r="L100" t="s">
        <v>75</v>
      </c>
      <c r="N100" t="s">
        <v>75</v>
      </c>
    </row>
    <row r="101" spans="1:14">
      <c r="A101" s="8" t="s">
        <v>126</v>
      </c>
      <c r="B101">
        <v>35</v>
      </c>
      <c r="C101" t="s">
        <v>137</v>
      </c>
      <c r="D101" t="s">
        <v>30</v>
      </c>
      <c r="E101">
        <v>38</v>
      </c>
      <c r="F101" s="7">
        <f t="shared" si="1"/>
        <v>409.02859583496945</v>
      </c>
      <c r="G101" s="8" t="s">
        <v>125</v>
      </c>
      <c r="H101" s="9">
        <v>45820</v>
      </c>
      <c r="I101" s="9">
        <v>45821</v>
      </c>
      <c r="K101" t="s">
        <v>75</v>
      </c>
      <c r="L101" t="s">
        <v>75</v>
      </c>
      <c r="N101" t="s">
        <v>75</v>
      </c>
    </row>
    <row r="102" spans="1:14">
      <c r="A102" s="8" t="s">
        <v>126</v>
      </c>
      <c r="B102">
        <v>36</v>
      </c>
      <c r="C102" t="s">
        <v>137</v>
      </c>
      <c r="D102" t="s">
        <v>30</v>
      </c>
      <c r="E102">
        <v>42</v>
      </c>
      <c r="F102" s="7">
        <f t="shared" si="1"/>
        <v>452.08423750180833</v>
      </c>
      <c r="G102" s="8" t="s">
        <v>125</v>
      </c>
      <c r="H102" s="9">
        <v>45833</v>
      </c>
      <c r="I102" s="9">
        <v>45856</v>
      </c>
      <c r="K102" t="s">
        <v>75</v>
      </c>
      <c r="L102" t="s">
        <v>75</v>
      </c>
      <c r="N102" t="s">
        <v>75</v>
      </c>
    </row>
    <row r="103" spans="1:14">
      <c r="A103" s="8" t="s">
        <v>126</v>
      </c>
      <c r="B103">
        <v>37</v>
      </c>
      <c r="C103" t="s">
        <v>137</v>
      </c>
      <c r="D103" t="s">
        <v>30</v>
      </c>
      <c r="E103">
        <v>41</v>
      </c>
      <c r="F103" s="7">
        <f t="shared" si="1"/>
        <v>441.3203270850986</v>
      </c>
      <c r="G103" s="8" t="s">
        <v>125</v>
      </c>
      <c r="H103" s="9">
        <v>45806</v>
      </c>
      <c r="I103" s="9">
        <v>45835</v>
      </c>
      <c r="J103">
        <v>22</v>
      </c>
      <c r="K103" t="s">
        <v>75</v>
      </c>
      <c r="L103" t="s">
        <v>75</v>
      </c>
      <c r="N103" t="s">
        <v>75</v>
      </c>
    </row>
    <row r="104" spans="1:14">
      <c r="A104" s="8" t="s">
        <v>126</v>
      </c>
      <c r="B104">
        <v>38</v>
      </c>
      <c r="C104" t="s">
        <v>137</v>
      </c>
      <c r="D104" t="s">
        <v>30</v>
      </c>
      <c r="E104">
        <v>43</v>
      </c>
      <c r="F104" s="7">
        <f t="shared" si="1"/>
        <v>462.84814791851807</v>
      </c>
      <c r="G104" s="8" t="s">
        <v>125</v>
      </c>
      <c r="H104" s="9">
        <v>45876</v>
      </c>
      <c r="I104" s="9">
        <v>45877</v>
      </c>
      <c r="J104">
        <v>21</v>
      </c>
      <c r="K104" t="s">
        <v>75</v>
      </c>
      <c r="L104" t="s">
        <v>75</v>
      </c>
      <c r="N104" t="s">
        <v>75</v>
      </c>
    </row>
    <row r="105" spans="1:14">
      <c r="A105" s="8" t="s">
        <v>126</v>
      </c>
      <c r="B105">
        <v>39</v>
      </c>
      <c r="C105" t="s">
        <v>137</v>
      </c>
      <c r="D105" t="s">
        <v>30</v>
      </c>
      <c r="E105">
        <v>43</v>
      </c>
      <c r="F105" s="7">
        <f t="shared" si="1"/>
        <v>462.84814791851807</v>
      </c>
      <c r="G105" s="8" t="s">
        <v>125</v>
      </c>
      <c r="H105" s="9">
        <v>45800</v>
      </c>
      <c r="I105" s="9">
        <v>45814</v>
      </c>
      <c r="K105" t="s">
        <v>75</v>
      </c>
      <c r="L105" t="s">
        <v>75</v>
      </c>
      <c r="N105" t="s">
        <v>75</v>
      </c>
    </row>
    <row r="106" spans="1:14">
      <c r="A106" s="8" t="s">
        <v>126</v>
      </c>
      <c r="B106">
        <v>40</v>
      </c>
      <c r="C106" t="s">
        <v>138</v>
      </c>
      <c r="D106" t="s">
        <v>38</v>
      </c>
      <c r="E106">
        <v>81</v>
      </c>
      <c r="F106" s="7">
        <f t="shared" si="1"/>
        <v>871.87674375348752</v>
      </c>
      <c r="G106" s="8" t="s">
        <v>125</v>
      </c>
      <c r="H106" s="9">
        <v>46066</v>
      </c>
      <c r="I106" s="9">
        <v>46080</v>
      </c>
      <c r="J106" t="s">
        <v>202</v>
      </c>
      <c r="K106" t="s">
        <v>31</v>
      </c>
      <c r="L106" t="s">
        <v>75</v>
      </c>
      <c r="N106" t="s">
        <v>75</v>
      </c>
    </row>
    <row r="107" spans="1:14">
      <c r="A107" s="8" t="s">
        <v>126</v>
      </c>
      <c r="B107">
        <v>41</v>
      </c>
      <c r="C107" t="s">
        <v>138</v>
      </c>
      <c r="D107" t="s">
        <v>38</v>
      </c>
      <c r="E107">
        <v>64</v>
      </c>
      <c r="F107" s="7">
        <f t="shared" si="1"/>
        <v>688.8902666694222</v>
      </c>
      <c r="G107" s="8" t="s">
        <v>125</v>
      </c>
      <c r="H107" s="9">
        <v>45805</v>
      </c>
      <c r="I107" s="9">
        <v>45805</v>
      </c>
      <c r="J107">
        <v>37</v>
      </c>
      <c r="K107" t="s">
        <v>31</v>
      </c>
      <c r="L107" t="s">
        <v>75</v>
      </c>
      <c r="N107" t="s">
        <v>75</v>
      </c>
    </row>
    <row r="108" spans="1:14">
      <c r="A108" s="8" t="s">
        <v>126</v>
      </c>
      <c r="B108">
        <v>42</v>
      </c>
      <c r="C108" t="s">
        <v>138</v>
      </c>
      <c r="D108" t="s">
        <v>30</v>
      </c>
      <c r="E108">
        <v>44</v>
      </c>
      <c r="F108" s="7">
        <f t="shared" si="1"/>
        <v>473.6120583352278</v>
      </c>
      <c r="G108" s="8" t="s">
        <v>125</v>
      </c>
      <c r="H108" s="9">
        <v>46009</v>
      </c>
      <c r="I108" s="9">
        <v>46378</v>
      </c>
      <c r="K108" t="s">
        <v>75</v>
      </c>
      <c r="L108" t="s">
        <v>75</v>
      </c>
      <c r="N108" t="s">
        <v>75</v>
      </c>
    </row>
    <row r="109" spans="1:14">
      <c r="A109" s="8" t="s">
        <v>126</v>
      </c>
      <c r="B109">
        <v>43</v>
      </c>
      <c r="C109" t="s">
        <v>138</v>
      </c>
      <c r="D109" t="s">
        <v>30</v>
      </c>
      <c r="E109">
        <v>44</v>
      </c>
      <c r="F109" s="7">
        <f t="shared" si="1"/>
        <v>473.6120583352278</v>
      </c>
      <c r="G109" s="8" t="s">
        <v>125</v>
      </c>
      <c r="H109" s="9">
        <v>45860</v>
      </c>
      <c r="I109" s="9">
        <v>45894</v>
      </c>
      <c r="J109">
        <v>50</v>
      </c>
      <c r="K109" t="s">
        <v>75</v>
      </c>
      <c r="L109" t="s">
        <v>75</v>
      </c>
      <c r="N109" t="s">
        <v>75</v>
      </c>
    </row>
    <row r="110" spans="1:14">
      <c r="A110" s="8" t="s">
        <v>126</v>
      </c>
      <c r="B110">
        <v>44</v>
      </c>
      <c r="C110" t="s">
        <v>138</v>
      </c>
      <c r="D110" t="s">
        <v>30</v>
      </c>
      <c r="E110">
        <v>41</v>
      </c>
      <c r="F110" s="7">
        <f t="shared" si="1"/>
        <v>441.3203270850986</v>
      </c>
      <c r="G110" s="8" t="s">
        <v>125</v>
      </c>
      <c r="H110" s="9">
        <v>45805</v>
      </c>
      <c r="I110" s="9">
        <v>45821</v>
      </c>
      <c r="K110" t="s">
        <v>75</v>
      </c>
      <c r="L110" t="s">
        <v>75</v>
      </c>
      <c r="N110" t="s">
        <v>75</v>
      </c>
    </row>
    <row r="111" spans="1:14">
      <c r="A111" s="8" t="s">
        <v>126</v>
      </c>
      <c r="B111">
        <v>45</v>
      </c>
      <c r="C111" t="s">
        <v>138</v>
      </c>
      <c r="D111" t="s">
        <v>30</v>
      </c>
      <c r="E111">
        <v>38</v>
      </c>
      <c r="F111" s="7">
        <f t="shared" si="1"/>
        <v>409.02859583496945</v>
      </c>
      <c r="G111" s="8" t="s">
        <v>125</v>
      </c>
      <c r="H111" s="9">
        <v>45912</v>
      </c>
      <c r="I111" s="9">
        <v>45919</v>
      </c>
      <c r="J111">
        <v>32</v>
      </c>
      <c r="K111" t="s">
        <v>75</v>
      </c>
      <c r="L111" t="s">
        <v>75</v>
      </c>
      <c r="N111" t="s">
        <v>75</v>
      </c>
    </row>
    <row r="112" spans="1:14">
      <c r="A112" s="8" t="s">
        <v>126</v>
      </c>
      <c r="B112">
        <v>46</v>
      </c>
      <c r="C112" t="s">
        <v>138</v>
      </c>
      <c r="D112" t="s">
        <v>38</v>
      </c>
      <c r="E112">
        <v>61</v>
      </c>
      <c r="F112" s="7">
        <f t="shared" si="1"/>
        <v>656.59853541929306</v>
      </c>
      <c r="G112" s="8" t="s">
        <v>125</v>
      </c>
      <c r="H112" s="9">
        <v>45826</v>
      </c>
      <c r="I112" s="9">
        <v>45826</v>
      </c>
      <c r="J112">
        <v>19</v>
      </c>
      <c r="K112" t="s">
        <v>31</v>
      </c>
      <c r="L112" t="s">
        <v>75</v>
      </c>
      <c r="N112" t="s">
        <v>75</v>
      </c>
    </row>
    <row r="113" spans="1:15">
      <c r="A113" s="8" t="s">
        <v>126</v>
      </c>
      <c r="B113">
        <v>47</v>
      </c>
      <c r="C113" t="s">
        <v>138</v>
      </c>
      <c r="D113" t="s">
        <v>38</v>
      </c>
      <c r="E113">
        <v>61</v>
      </c>
      <c r="F113" s="7">
        <f t="shared" si="1"/>
        <v>656.59853541929306</v>
      </c>
      <c r="G113" s="8" t="s">
        <v>125</v>
      </c>
      <c r="H113" s="9">
        <v>45946</v>
      </c>
      <c r="I113" s="9">
        <v>45947</v>
      </c>
      <c r="J113">
        <v>26</v>
      </c>
      <c r="K113" t="s">
        <v>31</v>
      </c>
      <c r="L113" t="s">
        <v>75</v>
      </c>
      <c r="N113" t="s">
        <v>75</v>
      </c>
    </row>
    <row r="114" spans="1:15">
      <c r="A114" s="8" t="s">
        <v>126</v>
      </c>
      <c r="B114">
        <v>48</v>
      </c>
      <c r="C114" t="s">
        <v>138</v>
      </c>
      <c r="D114" t="s">
        <v>30</v>
      </c>
      <c r="E114">
        <v>38</v>
      </c>
      <c r="F114" s="7">
        <f t="shared" si="1"/>
        <v>409.02859583496945</v>
      </c>
      <c r="G114" s="8" t="s">
        <v>125</v>
      </c>
      <c r="H114" s="9">
        <v>45924</v>
      </c>
      <c r="I114" s="9">
        <v>45924</v>
      </c>
      <c r="J114">
        <v>36</v>
      </c>
      <c r="K114" t="s">
        <v>75</v>
      </c>
      <c r="L114" t="s">
        <v>75</v>
      </c>
      <c r="N114" t="s">
        <v>75</v>
      </c>
    </row>
    <row r="115" spans="1:15">
      <c r="A115" s="8" t="s">
        <v>126</v>
      </c>
      <c r="B115">
        <v>49</v>
      </c>
      <c r="C115" t="s">
        <v>138</v>
      </c>
      <c r="D115" t="s">
        <v>30</v>
      </c>
      <c r="E115">
        <v>38</v>
      </c>
      <c r="F115" s="7">
        <f t="shared" si="1"/>
        <v>409.02859583496945</v>
      </c>
      <c r="G115" s="8" t="s">
        <v>79</v>
      </c>
      <c r="H115" s="9"/>
      <c r="I115" s="9"/>
      <c r="K115" t="s">
        <v>75</v>
      </c>
      <c r="L115" t="s">
        <v>75</v>
      </c>
      <c r="N115" t="s">
        <v>75</v>
      </c>
    </row>
    <row r="116" spans="1:15">
      <c r="A116" s="8" t="s">
        <v>126</v>
      </c>
      <c r="B116">
        <v>50</v>
      </c>
      <c r="C116" t="s">
        <v>138</v>
      </c>
      <c r="D116" t="s">
        <v>30</v>
      </c>
      <c r="E116">
        <v>38</v>
      </c>
      <c r="F116" s="7">
        <f t="shared" si="1"/>
        <v>409.02859583496945</v>
      </c>
      <c r="G116" s="8" t="s">
        <v>125</v>
      </c>
      <c r="H116" s="9">
        <v>46094</v>
      </c>
      <c r="I116" s="9">
        <v>46098</v>
      </c>
      <c r="K116" t="s">
        <v>75</v>
      </c>
      <c r="L116" t="s">
        <v>75</v>
      </c>
      <c r="N116" t="s">
        <v>75</v>
      </c>
    </row>
    <row r="117" spans="1:15">
      <c r="A117" s="8" t="s">
        <v>126</v>
      </c>
      <c r="B117">
        <v>51</v>
      </c>
      <c r="C117" t="s">
        <v>138</v>
      </c>
      <c r="D117" t="s">
        <v>30</v>
      </c>
      <c r="E117">
        <v>38</v>
      </c>
      <c r="F117" s="7">
        <f t="shared" si="1"/>
        <v>409.02859583496945</v>
      </c>
      <c r="G117" s="8" t="s">
        <v>125</v>
      </c>
      <c r="H117" s="9">
        <v>45903</v>
      </c>
      <c r="I117" s="9">
        <v>45905</v>
      </c>
      <c r="J117">
        <v>34</v>
      </c>
      <c r="K117" t="s">
        <v>75</v>
      </c>
      <c r="L117" t="s">
        <v>75</v>
      </c>
      <c r="N117" t="s">
        <v>75</v>
      </c>
    </row>
    <row r="118" spans="1:15">
      <c r="A118" s="8" t="s">
        <v>126</v>
      </c>
      <c r="B118">
        <v>52</v>
      </c>
      <c r="C118" t="s">
        <v>138</v>
      </c>
      <c r="D118" t="s">
        <v>30</v>
      </c>
      <c r="E118">
        <v>42</v>
      </c>
      <c r="F118" s="7">
        <f t="shared" si="1"/>
        <v>452.08423750180833</v>
      </c>
      <c r="G118" s="8" t="s">
        <v>125</v>
      </c>
      <c r="H118" s="9">
        <v>45895</v>
      </c>
      <c r="I118" s="9">
        <v>45898</v>
      </c>
      <c r="K118" t="s">
        <v>75</v>
      </c>
      <c r="L118" t="s">
        <v>75</v>
      </c>
      <c r="N118" t="s">
        <v>75</v>
      </c>
    </row>
    <row r="119" spans="1:15">
      <c r="A119" s="8" t="s">
        <v>126</v>
      </c>
      <c r="B119">
        <v>53</v>
      </c>
      <c r="C119" t="s">
        <v>138</v>
      </c>
      <c r="D119" t="s">
        <v>30</v>
      </c>
      <c r="E119">
        <v>41</v>
      </c>
      <c r="F119" s="7">
        <f t="shared" si="1"/>
        <v>441.3203270850986</v>
      </c>
      <c r="G119" s="8" t="s">
        <v>125</v>
      </c>
      <c r="H119" s="9">
        <v>45901</v>
      </c>
      <c r="I119" s="9">
        <v>45901</v>
      </c>
      <c r="J119">
        <v>25</v>
      </c>
      <c r="K119" t="s">
        <v>75</v>
      </c>
      <c r="L119" t="s">
        <v>75</v>
      </c>
      <c r="N119" t="s">
        <v>75</v>
      </c>
    </row>
    <row r="120" spans="1:15">
      <c r="A120" s="8" t="s">
        <v>126</v>
      </c>
      <c r="B120">
        <v>54</v>
      </c>
      <c r="C120" t="s">
        <v>138</v>
      </c>
      <c r="D120" t="s">
        <v>30</v>
      </c>
      <c r="E120">
        <v>43</v>
      </c>
      <c r="F120" s="7">
        <f t="shared" si="1"/>
        <v>462.84814791851807</v>
      </c>
      <c r="G120" s="8" t="s">
        <v>125</v>
      </c>
      <c r="H120" s="9">
        <v>45891</v>
      </c>
      <c r="I120" s="9">
        <v>45896</v>
      </c>
      <c r="J120">
        <v>44</v>
      </c>
      <c r="K120" t="s">
        <v>75</v>
      </c>
      <c r="L120" t="s">
        <v>75</v>
      </c>
      <c r="N120" t="s">
        <v>75</v>
      </c>
    </row>
    <row r="121" spans="1:15">
      <c r="A121" s="8" t="s">
        <v>126</v>
      </c>
      <c r="B121">
        <v>55</v>
      </c>
      <c r="C121" t="s">
        <v>138</v>
      </c>
      <c r="D121" t="s">
        <v>30</v>
      </c>
      <c r="E121">
        <v>43</v>
      </c>
      <c r="F121" s="7">
        <f t="shared" si="1"/>
        <v>462.84814791851807</v>
      </c>
      <c r="G121" s="8" t="s">
        <v>125</v>
      </c>
      <c r="H121" s="9">
        <v>45855</v>
      </c>
      <c r="I121" s="9">
        <v>45856</v>
      </c>
      <c r="K121" t="s">
        <v>75</v>
      </c>
      <c r="L121" t="s">
        <v>75</v>
      </c>
      <c r="N121" t="s">
        <v>75</v>
      </c>
    </row>
    <row r="122" spans="1:15">
      <c r="A122" s="8" t="s">
        <v>126</v>
      </c>
      <c r="B122">
        <v>56</v>
      </c>
      <c r="C122" t="s">
        <v>201</v>
      </c>
      <c r="D122" t="s">
        <v>38</v>
      </c>
      <c r="E122">
        <v>80</v>
      </c>
      <c r="F122" s="7">
        <f t="shared" si="1"/>
        <v>861.11283333677784</v>
      </c>
      <c r="G122" s="8" t="s">
        <v>77</v>
      </c>
      <c r="H122" s="9"/>
      <c r="I122" s="9">
        <v>46185</v>
      </c>
      <c r="J122">
        <v>53</v>
      </c>
      <c r="K122" t="s">
        <v>31</v>
      </c>
      <c r="L122" t="s">
        <v>75</v>
      </c>
      <c r="N122" t="s">
        <v>75</v>
      </c>
    </row>
    <row r="123" spans="1:15">
      <c r="A123" s="8" t="s">
        <v>126</v>
      </c>
      <c r="B123">
        <v>57</v>
      </c>
      <c r="C123" t="s">
        <v>201</v>
      </c>
      <c r="D123" t="s">
        <v>38</v>
      </c>
      <c r="E123">
        <v>64</v>
      </c>
      <c r="F123" s="7">
        <f t="shared" si="1"/>
        <v>688.8902666694222</v>
      </c>
      <c r="G123" s="8" t="s">
        <v>125</v>
      </c>
      <c r="H123" s="9">
        <v>45987</v>
      </c>
      <c r="I123" s="9">
        <v>45994</v>
      </c>
      <c r="K123" t="s">
        <v>31</v>
      </c>
      <c r="L123" t="s">
        <v>75</v>
      </c>
      <c r="N123" t="s">
        <v>75</v>
      </c>
    </row>
    <row r="124" spans="1:15">
      <c r="A124" s="8" t="s">
        <v>126</v>
      </c>
      <c r="B124">
        <v>58</v>
      </c>
      <c r="C124" t="s">
        <v>201</v>
      </c>
      <c r="D124" t="s">
        <v>30</v>
      </c>
      <c r="E124">
        <v>44</v>
      </c>
      <c r="F124" s="7">
        <f t="shared" si="1"/>
        <v>473.6120583352278</v>
      </c>
      <c r="G124" s="8" t="s">
        <v>125</v>
      </c>
      <c r="H124" s="9">
        <v>46036</v>
      </c>
      <c r="I124" s="9">
        <v>46036</v>
      </c>
      <c r="J124">
        <v>42</v>
      </c>
      <c r="K124" t="s">
        <v>75</v>
      </c>
      <c r="L124" t="s">
        <v>75</v>
      </c>
      <c r="N124" t="s">
        <v>75</v>
      </c>
    </row>
    <row r="125" spans="1:15">
      <c r="A125" s="8" t="s">
        <v>126</v>
      </c>
      <c r="B125">
        <v>59</v>
      </c>
      <c r="C125" t="s">
        <v>201</v>
      </c>
      <c r="D125" t="s">
        <v>30</v>
      </c>
      <c r="E125">
        <v>44</v>
      </c>
      <c r="F125" s="7">
        <f t="shared" si="1"/>
        <v>473.6120583352278</v>
      </c>
      <c r="G125" s="8" t="s">
        <v>125</v>
      </c>
      <c r="H125" s="9">
        <v>45856</v>
      </c>
      <c r="I125" s="9">
        <v>45873</v>
      </c>
      <c r="J125">
        <v>48</v>
      </c>
      <c r="K125" t="s">
        <v>75</v>
      </c>
      <c r="L125" t="s">
        <v>75</v>
      </c>
      <c r="N125" t="s">
        <v>75</v>
      </c>
    </row>
    <row r="126" spans="1:15">
      <c r="A126" s="8" t="s">
        <v>126</v>
      </c>
      <c r="B126">
        <v>60</v>
      </c>
      <c r="C126" t="s">
        <v>201</v>
      </c>
      <c r="D126" t="s">
        <v>30</v>
      </c>
      <c r="E126">
        <v>41</v>
      </c>
      <c r="F126" s="7">
        <f t="shared" si="1"/>
        <v>441.3203270850986</v>
      </c>
      <c r="G126" s="8" t="s">
        <v>125</v>
      </c>
      <c r="H126" s="9">
        <v>45868</v>
      </c>
      <c r="I126" s="9">
        <v>45877</v>
      </c>
      <c r="J126">
        <v>47</v>
      </c>
      <c r="K126" t="s">
        <v>75</v>
      </c>
      <c r="L126" t="s">
        <v>75</v>
      </c>
      <c r="N126" t="s">
        <v>75</v>
      </c>
    </row>
    <row r="127" spans="1:15">
      <c r="A127" s="8" t="s">
        <v>126</v>
      </c>
      <c r="B127">
        <v>61</v>
      </c>
      <c r="C127" t="s">
        <v>201</v>
      </c>
      <c r="D127" t="s">
        <v>30</v>
      </c>
      <c r="E127">
        <v>39</v>
      </c>
      <c r="F127" s="7">
        <f t="shared" si="1"/>
        <v>419.79250625167919</v>
      </c>
      <c r="G127" s="8" t="s">
        <v>125</v>
      </c>
      <c r="H127" s="9">
        <v>46077</v>
      </c>
      <c r="I127" s="9">
        <v>46080</v>
      </c>
      <c r="K127" t="s">
        <v>75</v>
      </c>
      <c r="L127" t="s">
        <v>75</v>
      </c>
      <c r="N127" t="s">
        <v>75</v>
      </c>
    </row>
    <row r="128" spans="1:15">
      <c r="A128" s="8" t="s">
        <v>126</v>
      </c>
      <c r="B128">
        <v>62</v>
      </c>
      <c r="C128" t="s">
        <v>201</v>
      </c>
      <c r="D128" t="s">
        <v>38</v>
      </c>
      <c r="E128">
        <v>61</v>
      </c>
      <c r="F128" s="7">
        <f t="shared" si="1"/>
        <v>656.59853541929306</v>
      </c>
      <c r="G128" s="8" t="s">
        <v>77</v>
      </c>
      <c r="H128" s="9"/>
      <c r="I128" s="9">
        <v>46185</v>
      </c>
      <c r="K128" t="s">
        <v>31</v>
      </c>
      <c r="L128" t="s">
        <v>75</v>
      </c>
      <c r="N128" t="s">
        <v>75</v>
      </c>
      <c r="O128" t="s">
        <v>203</v>
      </c>
    </row>
    <row r="129" spans="1:15">
      <c r="A129" s="8" t="s">
        <v>126</v>
      </c>
      <c r="B129">
        <v>63</v>
      </c>
      <c r="C129" t="s">
        <v>201</v>
      </c>
      <c r="D129" t="s">
        <v>38</v>
      </c>
      <c r="E129">
        <v>61</v>
      </c>
      <c r="F129" s="7">
        <f t="shared" si="1"/>
        <v>656.59853541929306</v>
      </c>
      <c r="G129" s="8" t="s">
        <v>79</v>
      </c>
      <c r="H129" s="9"/>
      <c r="I129" s="9"/>
      <c r="K129" t="s">
        <v>31</v>
      </c>
      <c r="L129" t="s">
        <v>75</v>
      </c>
      <c r="N129" t="s">
        <v>75</v>
      </c>
    </row>
    <row r="130" spans="1:15">
      <c r="A130" s="8" t="s">
        <v>126</v>
      </c>
      <c r="B130">
        <v>64</v>
      </c>
      <c r="C130" t="s">
        <v>201</v>
      </c>
      <c r="D130" t="s">
        <v>38</v>
      </c>
      <c r="E130">
        <v>66</v>
      </c>
      <c r="F130" s="7">
        <f t="shared" si="1"/>
        <v>710.41808750284167</v>
      </c>
      <c r="G130" s="8" t="s">
        <v>77</v>
      </c>
      <c r="H130" s="9"/>
      <c r="I130" s="9">
        <v>46185</v>
      </c>
      <c r="K130" t="s">
        <v>31</v>
      </c>
      <c r="L130" t="s">
        <v>75</v>
      </c>
      <c r="N130" t="s">
        <v>75</v>
      </c>
      <c r="O130" t="s">
        <v>203</v>
      </c>
    </row>
    <row r="131" spans="1:15">
      <c r="A131" s="8" t="s">
        <v>126</v>
      </c>
      <c r="B131">
        <v>65</v>
      </c>
      <c r="C131" t="s">
        <v>201</v>
      </c>
      <c r="D131" t="s">
        <v>38</v>
      </c>
      <c r="E131">
        <v>63</v>
      </c>
      <c r="F131" s="7">
        <f t="shared" si="1"/>
        <v>678.12635625271253</v>
      </c>
      <c r="G131" s="8" t="s">
        <v>125</v>
      </c>
      <c r="H131" s="9">
        <v>46077</v>
      </c>
      <c r="I131" s="9">
        <v>46080</v>
      </c>
      <c r="J131">
        <v>51</v>
      </c>
      <c r="K131" t="s">
        <v>31</v>
      </c>
      <c r="L131" t="s">
        <v>75</v>
      </c>
      <c r="N131" t="s">
        <v>75</v>
      </c>
    </row>
    <row r="132" spans="1:15">
      <c r="A132" s="8" t="s">
        <v>126</v>
      </c>
      <c r="B132">
        <v>66</v>
      </c>
      <c r="C132" t="s">
        <v>201</v>
      </c>
      <c r="D132" t="s">
        <v>38</v>
      </c>
      <c r="E132">
        <v>66</v>
      </c>
      <c r="F132" s="7">
        <f t="shared" si="1"/>
        <v>710.41808750284167</v>
      </c>
      <c r="G132" s="8" t="s">
        <v>125</v>
      </c>
      <c r="H132" s="9">
        <v>46077</v>
      </c>
      <c r="I132" s="9">
        <v>46080</v>
      </c>
      <c r="J132">
        <v>40</v>
      </c>
      <c r="K132" t="s">
        <v>31</v>
      </c>
      <c r="L132" t="s">
        <v>75</v>
      </c>
      <c r="N132" t="s">
        <v>75</v>
      </c>
    </row>
    <row r="133" spans="1:15">
      <c r="A133" s="8" t="s">
        <v>126</v>
      </c>
      <c r="B133">
        <v>67</v>
      </c>
      <c r="C133" t="s">
        <v>201</v>
      </c>
      <c r="D133" t="s">
        <v>38</v>
      </c>
      <c r="E133">
        <v>65</v>
      </c>
      <c r="F133" s="7">
        <f t="shared" ref="F133:F152" si="2">CONVERT(E133,"m^2","ft^2")</f>
        <v>699.65417708613199</v>
      </c>
      <c r="G133" s="8" t="s">
        <v>125</v>
      </c>
      <c r="H133" s="9">
        <v>46048</v>
      </c>
      <c r="I133" s="9">
        <v>46050</v>
      </c>
      <c r="J133">
        <v>54</v>
      </c>
      <c r="K133" t="s">
        <v>31</v>
      </c>
      <c r="L133" t="s">
        <v>75</v>
      </c>
      <c r="N133" t="s">
        <v>75</v>
      </c>
    </row>
    <row r="134" spans="1:15">
      <c r="A134" s="8" t="s">
        <v>126</v>
      </c>
      <c r="B134">
        <v>68</v>
      </c>
      <c r="C134" t="s">
        <v>201</v>
      </c>
      <c r="D134" t="s">
        <v>38</v>
      </c>
      <c r="E134">
        <v>62</v>
      </c>
      <c r="F134" s="7">
        <f t="shared" si="2"/>
        <v>667.36244583600273</v>
      </c>
      <c r="G134" s="8" t="s">
        <v>125</v>
      </c>
      <c r="H134" s="9">
        <v>45854</v>
      </c>
      <c r="I134" s="9">
        <v>45856</v>
      </c>
      <c r="J134">
        <v>52</v>
      </c>
      <c r="K134" t="s">
        <v>31</v>
      </c>
      <c r="L134" t="s">
        <v>75</v>
      </c>
      <c r="N134" t="s">
        <v>75</v>
      </c>
    </row>
    <row r="135" spans="1:15">
      <c r="A135" s="8" t="s">
        <v>126</v>
      </c>
      <c r="B135">
        <v>69</v>
      </c>
      <c r="C135" t="s">
        <v>200</v>
      </c>
      <c r="D135" t="s">
        <v>30</v>
      </c>
      <c r="E135">
        <v>50</v>
      </c>
      <c r="F135" s="7">
        <f t="shared" si="2"/>
        <v>538.19552083548615</v>
      </c>
      <c r="G135" s="8" t="s">
        <v>125</v>
      </c>
      <c r="J135">
        <v>1</v>
      </c>
      <c r="K135" t="s">
        <v>75</v>
      </c>
      <c r="L135" t="s">
        <v>75</v>
      </c>
      <c r="N135" t="s">
        <v>75</v>
      </c>
    </row>
    <row r="136" spans="1:15">
      <c r="A136" s="8" t="s">
        <v>126</v>
      </c>
      <c r="B136">
        <v>70</v>
      </c>
      <c r="C136" t="s">
        <v>200</v>
      </c>
      <c r="D136" t="s">
        <v>30</v>
      </c>
      <c r="E136">
        <v>47</v>
      </c>
      <c r="F136" s="7">
        <f t="shared" si="2"/>
        <v>505.90378958535695</v>
      </c>
      <c r="G136" s="8" t="s">
        <v>125</v>
      </c>
      <c r="J136">
        <v>2</v>
      </c>
      <c r="K136" t="s">
        <v>75</v>
      </c>
      <c r="L136" t="s">
        <v>75</v>
      </c>
      <c r="N136" t="s">
        <v>75</v>
      </c>
    </row>
    <row r="137" spans="1:15">
      <c r="A137" s="8" t="s">
        <v>126</v>
      </c>
      <c r="B137">
        <v>71</v>
      </c>
      <c r="C137" t="s">
        <v>200</v>
      </c>
      <c r="D137" t="s">
        <v>30</v>
      </c>
      <c r="E137">
        <v>47</v>
      </c>
      <c r="F137" s="7">
        <f t="shared" si="2"/>
        <v>505.90378958535695</v>
      </c>
      <c r="G137" s="8" t="s">
        <v>125</v>
      </c>
      <c r="J137">
        <v>3</v>
      </c>
      <c r="K137" t="s">
        <v>75</v>
      </c>
      <c r="L137" t="s">
        <v>75</v>
      </c>
      <c r="N137" t="s">
        <v>75</v>
      </c>
    </row>
    <row r="138" spans="1:15">
      <c r="A138" s="8" t="s">
        <v>126</v>
      </c>
      <c r="B138">
        <v>72</v>
      </c>
      <c r="C138" t="s">
        <v>200</v>
      </c>
      <c r="D138" t="s">
        <v>30</v>
      </c>
      <c r="E138">
        <v>44</v>
      </c>
      <c r="F138" s="7">
        <f t="shared" si="2"/>
        <v>473.6120583352278</v>
      </c>
      <c r="G138" s="8" t="s">
        <v>125</v>
      </c>
      <c r="J138">
        <v>4</v>
      </c>
      <c r="K138" t="s">
        <v>75</v>
      </c>
      <c r="L138" t="s">
        <v>75</v>
      </c>
      <c r="N138" t="s">
        <v>75</v>
      </c>
    </row>
    <row r="139" spans="1:15">
      <c r="A139" s="8" t="s">
        <v>126</v>
      </c>
      <c r="B139">
        <v>73</v>
      </c>
      <c r="C139" t="s">
        <v>200</v>
      </c>
      <c r="D139" t="s">
        <v>30</v>
      </c>
      <c r="E139">
        <v>44</v>
      </c>
      <c r="F139" s="7">
        <f t="shared" si="2"/>
        <v>473.6120583352278</v>
      </c>
      <c r="G139" s="8" t="s">
        <v>125</v>
      </c>
      <c r="J139">
        <v>5</v>
      </c>
      <c r="K139" t="s">
        <v>75</v>
      </c>
      <c r="L139" t="s">
        <v>75</v>
      </c>
      <c r="N139" t="s">
        <v>75</v>
      </c>
    </row>
    <row r="140" spans="1:15">
      <c r="A140" s="8" t="s">
        <v>126</v>
      </c>
      <c r="B140">
        <v>74</v>
      </c>
      <c r="C140" t="s">
        <v>200</v>
      </c>
      <c r="D140" t="s">
        <v>30</v>
      </c>
      <c r="E140">
        <v>41</v>
      </c>
      <c r="F140" s="7">
        <f t="shared" si="2"/>
        <v>441.3203270850986</v>
      </c>
      <c r="G140" s="8" t="s">
        <v>125</v>
      </c>
      <c r="J140">
        <v>6</v>
      </c>
      <c r="K140" t="s">
        <v>75</v>
      </c>
      <c r="L140" t="s">
        <v>75</v>
      </c>
      <c r="N140" t="s">
        <v>75</v>
      </c>
    </row>
    <row r="141" spans="1:15">
      <c r="A141" s="8" t="s">
        <v>126</v>
      </c>
      <c r="B141">
        <v>75</v>
      </c>
      <c r="C141" t="s">
        <v>200</v>
      </c>
      <c r="D141" t="s">
        <v>30</v>
      </c>
      <c r="E141">
        <v>40</v>
      </c>
      <c r="F141" s="7">
        <f t="shared" si="2"/>
        <v>430.55641666838892</v>
      </c>
      <c r="G141" s="8" t="s">
        <v>125</v>
      </c>
      <c r="J141">
        <v>7</v>
      </c>
      <c r="K141" t="s">
        <v>75</v>
      </c>
      <c r="L141" t="s">
        <v>75</v>
      </c>
      <c r="N141" t="s">
        <v>75</v>
      </c>
    </row>
    <row r="142" spans="1:15">
      <c r="A142" s="8" t="s">
        <v>126</v>
      </c>
      <c r="B142">
        <v>76</v>
      </c>
      <c r="C142" t="s">
        <v>200</v>
      </c>
      <c r="D142" t="s">
        <v>30</v>
      </c>
      <c r="E142">
        <v>39</v>
      </c>
      <c r="F142" s="7">
        <f t="shared" si="2"/>
        <v>419.79250625167919</v>
      </c>
      <c r="G142" s="8" t="s">
        <v>125</v>
      </c>
      <c r="K142" t="s">
        <v>75</v>
      </c>
      <c r="L142" t="s">
        <v>75</v>
      </c>
      <c r="N142" t="s">
        <v>75</v>
      </c>
    </row>
    <row r="143" spans="1:15">
      <c r="A143" s="8" t="s">
        <v>126</v>
      </c>
      <c r="B143">
        <v>77</v>
      </c>
      <c r="C143" t="s">
        <v>200</v>
      </c>
      <c r="D143" t="s">
        <v>30</v>
      </c>
      <c r="E143">
        <v>39</v>
      </c>
      <c r="F143" s="7">
        <f t="shared" si="2"/>
        <v>419.79250625167919</v>
      </c>
      <c r="G143" s="8" t="s">
        <v>125</v>
      </c>
      <c r="J143">
        <v>9</v>
      </c>
      <c r="K143" t="s">
        <v>75</v>
      </c>
      <c r="L143" t="s">
        <v>75</v>
      </c>
      <c r="N143" t="s">
        <v>75</v>
      </c>
    </row>
    <row r="144" spans="1:15">
      <c r="A144" s="8" t="s">
        <v>126</v>
      </c>
      <c r="B144">
        <v>78</v>
      </c>
      <c r="C144" t="s">
        <v>200</v>
      </c>
      <c r="D144" t="s">
        <v>30</v>
      </c>
      <c r="E144">
        <v>39</v>
      </c>
      <c r="F144" s="7">
        <f t="shared" si="2"/>
        <v>419.79250625167919</v>
      </c>
      <c r="G144" s="8" t="s">
        <v>125</v>
      </c>
      <c r="J144">
        <v>10</v>
      </c>
      <c r="K144" t="s">
        <v>75</v>
      </c>
      <c r="L144" t="s">
        <v>75</v>
      </c>
      <c r="N144" t="s">
        <v>75</v>
      </c>
    </row>
    <row r="145" spans="1:14">
      <c r="A145" s="8" t="s">
        <v>126</v>
      </c>
      <c r="B145">
        <v>79</v>
      </c>
      <c r="C145" t="s">
        <v>200</v>
      </c>
      <c r="D145" t="s">
        <v>30</v>
      </c>
      <c r="E145">
        <v>38</v>
      </c>
      <c r="F145" s="7">
        <f t="shared" si="2"/>
        <v>409.02859583496945</v>
      </c>
      <c r="G145" s="8" t="s">
        <v>125</v>
      </c>
      <c r="K145" t="s">
        <v>75</v>
      </c>
      <c r="L145" t="s">
        <v>75</v>
      </c>
      <c r="N145" t="s">
        <v>75</v>
      </c>
    </row>
    <row r="146" spans="1:14">
      <c r="A146" s="8" t="s">
        <v>126</v>
      </c>
      <c r="B146">
        <v>80</v>
      </c>
      <c r="C146" t="s">
        <v>200</v>
      </c>
      <c r="D146" t="s">
        <v>30</v>
      </c>
      <c r="E146">
        <v>40</v>
      </c>
      <c r="F146" s="7">
        <f t="shared" si="2"/>
        <v>430.55641666838892</v>
      </c>
      <c r="G146" s="8" t="s">
        <v>125</v>
      </c>
      <c r="J146">
        <v>11</v>
      </c>
      <c r="K146" t="s">
        <v>75</v>
      </c>
      <c r="L146" t="s">
        <v>75</v>
      </c>
      <c r="N146" t="s">
        <v>75</v>
      </c>
    </row>
    <row r="147" spans="1:14">
      <c r="A147" s="8" t="s">
        <v>126</v>
      </c>
      <c r="B147">
        <v>81</v>
      </c>
      <c r="C147" t="s">
        <v>200</v>
      </c>
      <c r="D147" t="s">
        <v>30</v>
      </c>
      <c r="E147">
        <v>38</v>
      </c>
      <c r="F147" s="7">
        <f t="shared" si="2"/>
        <v>409.02859583496945</v>
      </c>
      <c r="G147" s="8" t="s">
        <v>125</v>
      </c>
      <c r="J147">
        <v>57</v>
      </c>
      <c r="K147" t="s">
        <v>75</v>
      </c>
      <c r="L147" t="s">
        <v>75</v>
      </c>
      <c r="N147" t="s">
        <v>75</v>
      </c>
    </row>
    <row r="148" spans="1:14">
      <c r="A148" s="8" t="s">
        <v>126</v>
      </c>
      <c r="B148">
        <v>82</v>
      </c>
      <c r="C148" t="s">
        <v>200</v>
      </c>
      <c r="D148" t="s">
        <v>30</v>
      </c>
      <c r="E148">
        <v>39</v>
      </c>
      <c r="F148" s="7">
        <f t="shared" si="2"/>
        <v>419.79250625167919</v>
      </c>
      <c r="G148" s="8" t="s">
        <v>125</v>
      </c>
      <c r="J148">
        <v>58</v>
      </c>
      <c r="K148" t="s">
        <v>75</v>
      </c>
      <c r="L148" t="s">
        <v>75</v>
      </c>
      <c r="N148" t="s">
        <v>75</v>
      </c>
    </row>
    <row r="149" spans="1:14">
      <c r="A149" s="8" t="s">
        <v>126</v>
      </c>
      <c r="B149">
        <v>83</v>
      </c>
      <c r="C149" t="s">
        <v>200</v>
      </c>
      <c r="D149" t="s">
        <v>30</v>
      </c>
      <c r="E149">
        <v>42</v>
      </c>
      <c r="F149" s="7">
        <f t="shared" si="2"/>
        <v>452.08423750180833</v>
      </c>
      <c r="G149" s="8" t="s">
        <v>125</v>
      </c>
      <c r="J149">
        <v>59</v>
      </c>
      <c r="K149" t="s">
        <v>75</v>
      </c>
      <c r="L149" t="s">
        <v>75</v>
      </c>
      <c r="N149" t="s">
        <v>75</v>
      </c>
    </row>
    <row r="150" spans="1:14">
      <c r="A150" s="8" t="s">
        <v>126</v>
      </c>
      <c r="B150">
        <v>84</v>
      </c>
      <c r="C150" t="s">
        <v>200</v>
      </c>
      <c r="D150" t="s">
        <v>30</v>
      </c>
      <c r="E150">
        <v>41</v>
      </c>
      <c r="F150" s="7">
        <f t="shared" si="2"/>
        <v>441.3203270850986</v>
      </c>
      <c r="G150" s="8" t="s">
        <v>125</v>
      </c>
      <c r="J150">
        <v>60</v>
      </c>
      <c r="K150" t="s">
        <v>75</v>
      </c>
      <c r="L150" t="s">
        <v>75</v>
      </c>
      <c r="N150" t="s">
        <v>75</v>
      </c>
    </row>
    <row r="151" spans="1:14">
      <c r="A151" s="8" t="s">
        <v>126</v>
      </c>
      <c r="B151">
        <v>85</v>
      </c>
      <c r="C151" t="s">
        <v>200</v>
      </c>
      <c r="D151" t="s">
        <v>30</v>
      </c>
      <c r="E151">
        <v>43</v>
      </c>
      <c r="F151" s="7">
        <f t="shared" si="2"/>
        <v>462.84814791851807</v>
      </c>
      <c r="G151" s="8" t="s">
        <v>125</v>
      </c>
      <c r="J151">
        <v>61</v>
      </c>
      <c r="K151" t="s">
        <v>75</v>
      </c>
      <c r="L151" t="s">
        <v>75</v>
      </c>
      <c r="N151" t="s">
        <v>75</v>
      </c>
    </row>
    <row r="152" spans="1:14">
      <c r="A152" s="8" t="s">
        <v>126</v>
      </c>
      <c r="B152">
        <v>86</v>
      </c>
      <c r="C152" t="s">
        <v>200</v>
      </c>
      <c r="D152" t="s">
        <v>30</v>
      </c>
      <c r="E152">
        <v>43</v>
      </c>
      <c r="F152" s="7">
        <f t="shared" si="2"/>
        <v>462.84814791851807</v>
      </c>
      <c r="G152" s="8" t="s">
        <v>125</v>
      </c>
      <c r="J152">
        <v>62</v>
      </c>
      <c r="K152" t="s">
        <v>75</v>
      </c>
      <c r="L152" t="s">
        <v>75</v>
      </c>
      <c r="N152" t="s">
        <v>75</v>
      </c>
    </row>
  </sheetData>
  <autoFilter ref="A3:O152" xr:uid="{00000000-0001-0000-0400-000000000000}"/>
  <mergeCells count="1">
    <mergeCell ref="A1:O1"/>
  </mergeCells>
  <dataValidations count="3">
    <dataValidation type="list" sqref="D4:D997" xr:uid="{00000000-0002-0000-0400-000000000000}">
      <formula1>"Studio,1-bed,1-bed + study,2-bed"</formula1>
    </dataValidation>
    <dataValidation type="list" sqref="G4:G997" xr:uid="{00000000-0002-0000-0400-000001000000}">
      <formula1>"for_sale,reserved,exchanged,completed,handed_over"</formula1>
    </dataValidation>
    <dataValidation type="list" sqref="N4:N997 K4:L997" xr:uid="{00000000-0002-0000-0400-000002000000}">
      <formula1>"yes,no"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showGridLines="0" workbookViewId="0">
      <selection activeCell="C12" sqref="C12"/>
    </sheetView>
  </sheetViews>
  <sheetFormatPr defaultRowHeight="13.7"/>
  <cols>
    <col min="1" max="1" width="17" customWidth="1"/>
    <col min="2" max="2" width="15" customWidth="1"/>
    <col min="3" max="4" width="14" customWidth="1"/>
    <col min="5" max="5" width="20" customWidth="1"/>
    <col min="6" max="6" width="34" customWidth="1"/>
  </cols>
  <sheetData>
    <row r="1" spans="1:6" ht="51" customHeight="1">
      <c r="A1" s="10" t="s">
        <v>80</v>
      </c>
      <c r="B1" s="11"/>
      <c r="C1" s="11"/>
      <c r="D1" s="11"/>
      <c r="E1" s="11"/>
      <c r="F1" s="11"/>
    </row>
    <row r="3" spans="1:6">
      <c r="A3" s="4" t="s">
        <v>11</v>
      </c>
      <c r="B3" s="4" t="s">
        <v>59</v>
      </c>
      <c r="C3" s="4" t="s">
        <v>81</v>
      </c>
      <c r="D3" s="4" t="s">
        <v>42</v>
      </c>
      <c r="E3" s="4" t="s">
        <v>43</v>
      </c>
      <c r="F3" s="4" t="s">
        <v>20</v>
      </c>
    </row>
    <row r="4" spans="1:6">
      <c r="A4" s="5" t="s">
        <v>21</v>
      </c>
      <c r="B4" s="5" t="s">
        <v>71</v>
      </c>
      <c r="C4" s="5" t="s">
        <v>82</v>
      </c>
      <c r="D4" s="5">
        <v>10</v>
      </c>
      <c r="E4" s="5" t="s">
        <v>46</v>
      </c>
      <c r="F4" s="5" t="s">
        <v>83</v>
      </c>
    </row>
    <row r="5" spans="1:6">
      <c r="A5" s="5" t="s">
        <v>21</v>
      </c>
      <c r="B5" s="5" t="s">
        <v>71</v>
      </c>
      <c r="C5" s="5" t="s">
        <v>82</v>
      </c>
      <c r="D5" s="5">
        <v>20</v>
      </c>
      <c r="E5" s="5" t="s">
        <v>49</v>
      </c>
      <c r="F5" s="5" t="s">
        <v>83</v>
      </c>
    </row>
    <row r="6" spans="1:6">
      <c r="A6" s="5" t="s">
        <v>21</v>
      </c>
      <c r="B6" s="5" t="s">
        <v>71</v>
      </c>
      <c r="C6" s="5" t="s">
        <v>82</v>
      </c>
      <c r="D6" s="5">
        <v>30</v>
      </c>
      <c r="E6" s="5" t="s">
        <v>50</v>
      </c>
      <c r="F6" s="5" t="s">
        <v>83</v>
      </c>
    </row>
    <row r="7" spans="1:6">
      <c r="A7" s="5" t="s">
        <v>21</v>
      </c>
      <c r="B7" s="5" t="s">
        <v>71</v>
      </c>
      <c r="C7" s="5" t="s">
        <v>82</v>
      </c>
      <c r="D7" s="5">
        <v>40</v>
      </c>
      <c r="E7" s="5" t="s">
        <v>51</v>
      </c>
      <c r="F7" s="5" t="s">
        <v>83</v>
      </c>
    </row>
    <row r="8" spans="1:6">
      <c r="A8" s="5" t="s">
        <v>21</v>
      </c>
      <c r="B8" s="5" t="s">
        <v>71</v>
      </c>
      <c r="C8" s="5" t="s">
        <v>82</v>
      </c>
      <c r="D8" s="5">
        <v>50</v>
      </c>
      <c r="E8" s="5" t="s">
        <v>55</v>
      </c>
      <c r="F8" s="5" t="s">
        <v>83</v>
      </c>
    </row>
    <row r="9" spans="1:6">
      <c r="A9" s="5" t="s">
        <v>21</v>
      </c>
      <c r="B9" s="5" t="s">
        <v>71</v>
      </c>
      <c r="C9" s="5" t="s">
        <v>82</v>
      </c>
      <c r="D9" s="5">
        <v>60</v>
      </c>
      <c r="E9" s="5" t="s">
        <v>57</v>
      </c>
      <c r="F9" s="5" t="s">
        <v>83</v>
      </c>
    </row>
    <row r="10" spans="1:6">
      <c r="A10" s="5" t="s">
        <v>21</v>
      </c>
      <c r="B10" s="5" t="s">
        <v>71</v>
      </c>
      <c r="C10" s="5" t="s">
        <v>84</v>
      </c>
      <c r="D10" s="5">
        <v>70</v>
      </c>
      <c r="E10" s="5" t="s">
        <v>85</v>
      </c>
      <c r="F10" s="5" t="s">
        <v>86</v>
      </c>
    </row>
    <row r="11" spans="1:6">
      <c r="A11" s="5" t="s">
        <v>21</v>
      </c>
      <c r="B11" s="5" t="s">
        <v>71</v>
      </c>
      <c r="C11" s="5" t="s">
        <v>84</v>
      </c>
      <c r="D11" s="5">
        <v>80</v>
      </c>
      <c r="E11" s="5" t="s">
        <v>74</v>
      </c>
      <c r="F11" s="5" t="s">
        <v>87</v>
      </c>
    </row>
    <row r="12" spans="1:6">
      <c r="A12" s="5" t="s">
        <v>21</v>
      </c>
      <c r="B12" s="5" t="s">
        <v>76</v>
      </c>
      <c r="C12" s="5" t="s">
        <v>82</v>
      </c>
      <c r="D12" s="5">
        <v>10</v>
      </c>
      <c r="E12" s="5" t="s">
        <v>46</v>
      </c>
      <c r="F12" s="5" t="s">
        <v>88</v>
      </c>
    </row>
    <row r="13" spans="1:6">
      <c r="A13" s="5" t="s">
        <v>21</v>
      </c>
      <c r="B13" s="5" t="s">
        <v>76</v>
      </c>
      <c r="C13" s="5" t="s">
        <v>84</v>
      </c>
      <c r="D13" s="5">
        <v>90</v>
      </c>
      <c r="E13" s="5" t="s">
        <v>89</v>
      </c>
      <c r="F13" s="5" t="s">
        <v>90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3"/>
  <sheetViews>
    <sheetView showGridLines="0" workbookViewId="0">
      <selection activeCell="A4" sqref="A4:XFD5"/>
    </sheetView>
  </sheetViews>
  <sheetFormatPr defaultRowHeight="13.7"/>
  <cols>
    <col min="1" max="1" width="17" customWidth="1"/>
    <col min="2" max="2" width="21.109375" customWidth="1"/>
    <col min="3" max="4" width="14" customWidth="1"/>
    <col min="5" max="5" width="22" customWidth="1"/>
  </cols>
  <sheetData>
    <row r="1" spans="1:5" ht="14">
      <c r="A1" s="10" t="s">
        <v>91</v>
      </c>
      <c r="B1" s="11"/>
      <c r="C1" s="11"/>
      <c r="D1" s="11"/>
      <c r="E1" s="11"/>
    </row>
    <row r="3" spans="1:5">
      <c r="A3" s="3" t="s">
        <v>11</v>
      </c>
      <c r="B3" s="3" t="s">
        <v>92</v>
      </c>
      <c r="C3" s="4" t="s">
        <v>60</v>
      </c>
      <c r="D3" s="4" t="s">
        <v>42</v>
      </c>
      <c r="E3" s="4" t="s">
        <v>20</v>
      </c>
    </row>
    <row r="4" spans="1:5">
      <c r="A4" s="5" t="s">
        <v>21</v>
      </c>
      <c r="B4" t="s">
        <v>169</v>
      </c>
      <c r="C4" t="s">
        <v>136</v>
      </c>
      <c r="D4" s="5">
        <v>30</v>
      </c>
    </row>
    <row r="5" spans="1:5">
      <c r="A5" s="5" t="s">
        <v>21</v>
      </c>
      <c r="B5" t="s">
        <v>182</v>
      </c>
      <c r="C5" t="s">
        <v>136</v>
      </c>
      <c r="D5" s="5">
        <v>40</v>
      </c>
    </row>
    <row r="6" spans="1:5">
      <c r="A6" s="5" t="s">
        <v>21</v>
      </c>
      <c r="B6" t="s">
        <v>171</v>
      </c>
      <c r="C6" t="s">
        <v>136</v>
      </c>
      <c r="D6" s="5">
        <v>50</v>
      </c>
    </row>
    <row r="7" spans="1:5">
      <c r="A7" s="5" t="s">
        <v>21</v>
      </c>
      <c r="B7" t="s">
        <v>172</v>
      </c>
      <c r="C7" t="s">
        <v>136</v>
      </c>
      <c r="D7" s="5">
        <v>60</v>
      </c>
    </row>
    <row r="8" spans="1:5">
      <c r="A8" s="5" t="s">
        <v>21</v>
      </c>
      <c r="B8" t="s">
        <v>165</v>
      </c>
      <c r="C8" t="s">
        <v>136</v>
      </c>
      <c r="D8" s="5">
        <v>70</v>
      </c>
    </row>
    <row r="9" spans="1:5">
      <c r="A9" s="5" t="s">
        <v>21</v>
      </c>
      <c r="B9" t="s">
        <v>168</v>
      </c>
      <c r="C9" t="s">
        <v>136</v>
      </c>
      <c r="D9" s="5">
        <v>80</v>
      </c>
    </row>
    <row r="10" spans="1:5">
      <c r="A10" s="5" t="s">
        <v>21</v>
      </c>
      <c r="B10" t="s">
        <v>170</v>
      </c>
      <c r="C10" t="s">
        <v>136</v>
      </c>
      <c r="D10" s="5">
        <v>90</v>
      </c>
    </row>
    <row r="11" spans="1:5">
      <c r="A11" s="5" t="s">
        <v>21</v>
      </c>
      <c r="B11" t="s">
        <v>174</v>
      </c>
      <c r="C11" t="s">
        <v>136</v>
      </c>
      <c r="D11" s="5">
        <v>100</v>
      </c>
    </row>
    <row r="12" spans="1:5">
      <c r="A12" s="5" t="s">
        <v>21</v>
      </c>
      <c r="B12" t="s">
        <v>167</v>
      </c>
      <c r="C12" t="s">
        <v>136</v>
      </c>
      <c r="D12" s="5">
        <v>110</v>
      </c>
    </row>
    <row r="13" spans="1:5">
      <c r="A13" s="5" t="s">
        <v>21</v>
      </c>
      <c r="B13" t="s">
        <v>166</v>
      </c>
      <c r="C13" t="s">
        <v>136</v>
      </c>
      <c r="D13" s="5">
        <v>120</v>
      </c>
    </row>
    <row r="14" spans="1:5">
      <c r="A14" s="5" t="s">
        <v>21</v>
      </c>
      <c r="B14" t="s">
        <v>173</v>
      </c>
      <c r="C14" t="s">
        <v>136</v>
      </c>
      <c r="D14" s="5">
        <v>130</v>
      </c>
    </row>
    <row r="15" spans="1:5">
      <c r="A15" s="5" t="s">
        <v>21</v>
      </c>
      <c r="B15" t="s">
        <v>135</v>
      </c>
      <c r="C15" t="s">
        <v>136</v>
      </c>
      <c r="D15" s="5">
        <v>140</v>
      </c>
    </row>
    <row r="16" spans="1:5">
      <c r="A16" s="5" t="s">
        <v>21</v>
      </c>
      <c r="B16" t="s">
        <v>181</v>
      </c>
      <c r="C16" t="s">
        <v>136</v>
      </c>
      <c r="D16" s="5">
        <v>150</v>
      </c>
    </row>
    <row r="17" spans="1:4">
      <c r="A17" s="5" t="s">
        <v>21</v>
      </c>
      <c r="B17" t="s">
        <v>178</v>
      </c>
      <c r="C17" t="s">
        <v>78</v>
      </c>
      <c r="D17" s="5">
        <v>160</v>
      </c>
    </row>
    <row r="18" spans="1:4">
      <c r="A18" s="5" t="s">
        <v>21</v>
      </c>
      <c r="B18" t="s">
        <v>175</v>
      </c>
      <c r="C18" t="s">
        <v>78</v>
      </c>
      <c r="D18" s="5">
        <v>170</v>
      </c>
    </row>
    <row r="19" spans="1:4">
      <c r="A19" s="5" t="s">
        <v>21</v>
      </c>
      <c r="B19" t="s">
        <v>169</v>
      </c>
      <c r="C19" t="s">
        <v>78</v>
      </c>
      <c r="D19" s="5">
        <v>180</v>
      </c>
    </row>
    <row r="20" spans="1:4">
      <c r="A20" s="5" t="s">
        <v>21</v>
      </c>
      <c r="B20" t="s">
        <v>182</v>
      </c>
      <c r="C20" t="s">
        <v>78</v>
      </c>
      <c r="D20" s="5">
        <v>190</v>
      </c>
    </row>
    <row r="21" spans="1:4">
      <c r="A21" s="5" t="s">
        <v>21</v>
      </c>
      <c r="B21" t="s">
        <v>172</v>
      </c>
      <c r="C21" t="s">
        <v>78</v>
      </c>
      <c r="D21" s="5">
        <v>200</v>
      </c>
    </row>
    <row r="22" spans="1:4">
      <c r="A22" s="5" t="s">
        <v>21</v>
      </c>
      <c r="B22" t="s">
        <v>168</v>
      </c>
      <c r="C22" t="s">
        <v>78</v>
      </c>
      <c r="D22" s="5">
        <v>210</v>
      </c>
    </row>
    <row r="23" spans="1:4">
      <c r="A23" s="5" t="s">
        <v>21</v>
      </c>
      <c r="B23" t="s">
        <v>174</v>
      </c>
      <c r="C23" t="s">
        <v>78</v>
      </c>
      <c r="D23" s="5">
        <v>220</v>
      </c>
    </row>
    <row r="24" spans="1:4">
      <c r="A24" s="5" t="s">
        <v>21</v>
      </c>
      <c r="B24" t="s">
        <v>173</v>
      </c>
      <c r="C24" t="s">
        <v>78</v>
      </c>
      <c r="D24" s="5">
        <v>230</v>
      </c>
    </row>
    <row r="25" spans="1:4">
      <c r="A25" s="5" t="s">
        <v>21</v>
      </c>
      <c r="B25" t="s">
        <v>177</v>
      </c>
      <c r="C25" t="s">
        <v>78</v>
      </c>
      <c r="D25" s="5">
        <v>240</v>
      </c>
    </row>
    <row r="26" spans="1:4">
      <c r="A26" s="5" t="s">
        <v>21</v>
      </c>
      <c r="B26" t="s">
        <v>176</v>
      </c>
      <c r="C26" t="s">
        <v>78</v>
      </c>
      <c r="D26" s="5">
        <v>250</v>
      </c>
    </row>
    <row r="27" spans="1:4">
      <c r="A27" s="5" t="s">
        <v>21</v>
      </c>
      <c r="B27" t="s">
        <v>181</v>
      </c>
      <c r="C27" t="s">
        <v>78</v>
      </c>
      <c r="D27" s="5">
        <v>260</v>
      </c>
    </row>
    <row r="28" spans="1:4">
      <c r="A28" s="5" t="s">
        <v>21</v>
      </c>
      <c r="B28" t="s">
        <v>179</v>
      </c>
      <c r="C28" t="s">
        <v>72</v>
      </c>
      <c r="D28" s="5">
        <v>270</v>
      </c>
    </row>
    <row r="29" spans="1:4">
      <c r="A29" s="5" t="s">
        <v>21</v>
      </c>
      <c r="B29" t="s">
        <v>182</v>
      </c>
      <c r="C29" t="s">
        <v>72</v>
      </c>
      <c r="D29" s="5">
        <v>280</v>
      </c>
    </row>
    <row r="30" spans="1:4">
      <c r="A30" s="5" t="s">
        <v>21</v>
      </c>
      <c r="B30" t="s">
        <v>172</v>
      </c>
      <c r="C30" t="s">
        <v>72</v>
      </c>
      <c r="D30" s="5">
        <v>290</v>
      </c>
    </row>
    <row r="31" spans="1:4">
      <c r="A31" s="5" t="s">
        <v>21</v>
      </c>
      <c r="B31" t="s">
        <v>174</v>
      </c>
      <c r="C31" t="s">
        <v>72</v>
      </c>
      <c r="D31" s="5">
        <v>300</v>
      </c>
    </row>
    <row r="32" spans="1:4">
      <c r="A32" s="5" t="s">
        <v>21</v>
      </c>
      <c r="B32" t="s">
        <v>177</v>
      </c>
      <c r="C32" t="s">
        <v>72</v>
      </c>
      <c r="D32" s="5">
        <v>310</v>
      </c>
    </row>
    <row r="33" spans="1:4">
      <c r="A33" s="5" t="s">
        <v>21</v>
      </c>
      <c r="B33" t="s">
        <v>176</v>
      </c>
      <c r="C33" t="s">
        <v>72</v>
      </c>
      <c r="D33" s="5">
        <v>320</v>
      </c>
    </row>
    <row r="34" spans="1:4">
      <c r="A34" s="5" t="s">
        <v>21</v>
      </c>
      <c r="B34" t="s">
        <v>181</v>
      </c>
      <c r="C34" t="s">
        <v>72</v>
      </c>
      <c r="D34" s="5">
        <v>330</v>
      </c>
    </row>
    <row r="35" spans="1:4">
      <c r="A35" s="5" t="s">
        <v>21</v>
      </c>
      <c r="B35" t="s">
        <v>180</v>
      </c>
      <c r="C35" t="s">
        <v>137</v>
      </c>
      <c r="D35" s="5">
        <v>340</v>
      </c>
    </row>
    <row r="36" spans="1:4">
      <c r="A36" s="5" t="s">
        <v>21</v>
      </c>
      <c r="B36" t="s">
        <v>182</v>
      </c>
      <c r="C36" t="s">
        <v>137</v>
      </c>
      <c r="D36" s="5">
        <v>350</v>
      </c>
    </row>
    <row r="37" spans="1:4">
      <c r="A37" s="5" t="s">
        <v>21</v>
      </c>
      <c r="B37" t="s">
        <v>172</v>
      </c>
      <c r="C37" t="s">
        <v>137</v>
      </c>
      <c r="D37" s="5">
        <v>360</v>
      </c>
    </row>
    <row r="38" spans="1:4">
      <c r="A38" s="5" t="s">
        <v>21</v>
      </c>
      <c r="B38" t="s">
        <v>174</v>
      </c>
      <c r="C38" t="s">
        <v>137</v>
      </c>
      <c r="D38" s="5">
        <v>370</v>
      </c>
    </row>
    <row r="39" spans="1:4">
      <c r="A39" s="5" t="s">
        <v>21</v>
      </c>
      <c r="B39" t="s">
        <v>177</v>
      </c>
      <c r="C39" t="s">
        <v>137</v>
      </c>
      <c r="D39" s="5">
        <v>380</v>
      </c>
    </row>
    <row r="40" spans="1:4">
      <c r="A40" s="5" t="s">
        <v>21</v>
      </c>
      <c r="B40" t="s">
        <v>176</v>
      </c>
      <c r="C40" t="s">
        <v>137</v>
      </c>
      <c r="D40" s="5">
        <v>390</v>
      </c>
    </row>
    <row r="41" spans="1:4">
      <c r="A41" s="5" t="s">
        <v>21</v>
      </c>
      <c r="B41" t="s">
        <v>181</v>
      </c>
      <c r="C41" t="s">
        <v>137</v>
      </c>
      <c r="D41" s="5">
        <v>400</v>
      </c>
    </row>
    <row r="42" spans="1:4">
      <c r="A42" s="5" t="s">
        <v>21</v>
      </c>
      <c r="B42" t="s">
        <v>182</v>
      </c>
      <c r="C42" t="s">
        <v>138</v>
      </c>
      <c r="D42" s="5">
        <v>410</v>
      </c>
    </row>
    <row r="43" spans="1:4">
      <c r="A43" s="5" t="s">
        <v>21</v>
      </c>
      <c r="B43" t="s">
        <v>172</v>
      </c>
      <c r="C43" t="s">
        <v>138</v>
      </c>
      <c r="D43" s="5">
        <v>420</v>
      </c>
    </row>
    <row r="44" spans="1:4">
      <c r="A44" s="5" t="s">
        <v>21</v>
      </c>
      <c r="B44" t="s">
        <v>174</v>
      </c>
      <c r="C44" t="s">
        <v>138</v>
      </c>
      <c r="D44" s="5">
        <v>430</v>
      </c>
    </row>
    <row r="45" spans="1:4">
      <c r="A45" s="5" t="s">
        <v>21</v>
      </c>
      <c r="B45" t="s">
        <v>176</v>
      </c>
      <c r="C45" t="s">
        <v>138</v>
      </c>
      <c r="D45" s="5">
        <v>440</v>
      </c>
    </row>
    <row r="46" spans="1:4">
      <c r="A46" s="5" t="s">
        <v>21</v>
      </c>
      <c r="B46" t="s">
        <v>181</v>
      </c>
      <c r="C46" t="s">
        <v>138</v>
      </c>
      <c r="D46" s="5">
        <v>450</v>
      </c>
    </row>
    <row r="47" spans="1:4">
      <c r="A47" s="5" t="s">
        <v>21</v>
      </c>
      <c r="B47" t="s">
        <v>183</v>
      </c>
      <c r="C47" t="s">
        <v>183</v>
      </c>
      <c r="D47" s="5">
        <v>460</v>
      </c>
    </row>
    <row r="48" spans="1:4">
      <c r="A48" s="8" t="s">
        <v>126</v>
      </c>
      <c r="B48" t="s">
        <v>169</v>
      </c>
      <c r="C48" t="s">
        <v>78</v>
      </c>
      <c r="D48" s="8">
        <v>10</v>
      </c>
    </row>
    <row r="49" spans="1:4">
      <c r="A49" s="8" t="s">
        <v>126</v>
      </c>
      <c r="B49" t="s">
        <v>182</v>
      </c>
      <c r="C49" t="s">
        <v>78</v>
      </c>
      <c r="D49" s="8">
        <v>20</v>
      </c>
    </row>
    <row r="50" spans="1:4">
      <c r="A50" s="8" t="s">
        <v>126</v>
      </c>
      <c r="B50" t="s">
        <v>168</v>
      </c>
      <c r="C50" t="s">
        <v>78</v>
      </c>
      <c r="D50" s="8">
        <v>30</v>
      </c>
    </row>
    <row r="51" spans="1:4">
      <c r="A51" s="8" t="s">
        <v>126</v>
      </c>
      <c r="B51" t="s">
        <v>204</v>
      </c>
      <c r="C51" t="s">
        <v>78</v>
      </c>
      <c r="D51" s="8">
        <v>40</v>
      </c>
    </row>
    <row r="52" spans="1:4">
      <c r="A52" s="8" t="s">
        <v>126</v>
      </c>
      <c r="B52" t="s">
        <v>174</v>
      </c>
      <c r="C52" t="s">
        <v>78</v>
      </c>
      <c r="D52" s="8">
        <v>50</v>
      </c>
    </row>
    <row r="53" spans="1:4">
      <c r="A53" s="8" t="s">
        <v>126</v>
      </c>
      <c r="B53" t="s">
        <v>205</v>
      </c>
      <c r="C53" t="s">
        <v>78</v>
      </c>
      <c r="D53" s="8">
        <v>60</v>
      </c>
    </row>
    <row r="54" spans="1:4">
      <c r="A54" s="8" t="s">
        <v>126</v>
      </c>
      <c r="B54" t="s">
        <v>167</v>
      </c>
      <c r="C54" t="s">
        <v>78</v>
      </c>
      <c r="D54" s="8">
        <v>70</v>
      </c>
    </row>
    <row r="55" spans="1:4">
      <c r="A55" s="8" t="s">
        <v>126</v>
      </c>
      <c r="B55" t="s">
        <v>208</v>
      </c>
      <c r="C55" t="s">
        <v>78</v>
      </c>
      <c r="D55" s="8">
        <v>80</v>
      </c>
    </row>
    <row r="56" spans="1:4">
      <c r="A56" s="8" t="s">
        <v>126</v>
      </c>
      <c r="B56" t="s">
        <v>206</v>
      </c>
      <c r="C56" t="s">
        <v>78</v>
      </c>
      <c r="D56" s="8">
        <v>90</v>
      </c>
    </row>
    <row r="57" spans="1:4">
      <c r="A57" s="8" t="s">
        <v>126</v>
      </c>
      <c r="B57" t="s">
        <v>207</v>
      </c>
      <c r="C57" t="s">
        <v>78</v>
      </c>
      <c r="D57" s="8">
        <v>100</v>
      </c>
    </row>
    <row r="58" spans="1:4">
      <c r="A58" s="8" t="s">
        <v>126</v>
      </c>
      <c r="B58" t="s">
        <v>182</v>
      </c>
      <c r="C58" t="s">
        <v>72</v>
      </c>
      <c r="D58" s="8">
        <v>110</v>
      </c>
    </row>
    <row r="59" spans="1:4">
      <c r="A59" s="8" t="s">
        <v>126</v>
      </c>
      <c r="B59" t="s">
        <v>172</v>
      </c>
      <c r="C59" t="s">
        <v>72</v>
      </c>
      <c r="D59" s="8">
        <v>120</v>
      </c>
    </row>
    <row r="60" spans="1:4">
      <c r="A60" s="8" t="s">
        <v>126</v>
      </c>
      <c r="B60" t="s">
        <v>174</v>
      </c>
      <c r="C60" t="s">
        <v>72</v>
      </c>
      <c r="D60" s="8">
        <v>130</v>
      </c>
    </row>
    <row r="61" spans="1:4">
      <c r="A61" s="8" t="s">
        <v>126</v>
      </c>
      <c r="B61" t="s">
        <v>182</v>
      </c>
      <c r="C61" t="s">
        <v>137</v>
      </c>
      <c r="D61" s="8">
        <v>140</v>
      </c>
    </row>
    <row r="62" spans="1:4">
      <c r="A62" s="8" t="s">
        <v>126</v>
      </c>
      <c r="B62" t="s">
        <v>172</v>
      </c>
      <c r="C62" t="s">
        <v>137</v>
      </c>
      <c r="D62" s="8">
        <v>150</v>
      </c>
    </row>
    <row r="63" spans="1:4">
      <c r="A63" s="8" t="s">
        <v>126</v>
      </c>
      <c r="B63" t="s">
        <v>174</v>
      </c>
      <c r="C63" t="s">
        <v>137</v>
      </c>
      <c r="D63" s="8">
        <v>160</v>
      </c>
    </row>
    <row r="64" spans="1:4">
      <c r="A64" s="8" t="s">
        <v>126</v>
      </c>
      <c r="B64" t="s">
        <v>182</v>
      </c>
      <c r="C64" t="s">
        <v>138</v>
      </c>
      <c r="D64" s="8">
        <v>170</v>
      </c>
    </row>
    <row r="65" spans="1:4">
      <c r="A65" s="8" t="s">
        <v>126</v>
      </c>
      <c r="B65" t="s">
        <v>172</v>
      </c>
      <c r="C65" t="s">
        <v>138</v>
      </c>
      <c r="D65" s="8">
        <v>180</v>
      </c>
    </row>
    <row r="66" spans="1:4">
      <c r="A66" s="8" t="s">
        <v>126</v>
      </c>
      <c r="B66" t="s">
        <v>174</v>
      </c>
      <c r="C66" t="s">
        <v>138</v>
      </c>
      <c r="D66" s="8">
        <v>190</v>
      </c>
    </row>
    <row r="67" spans="1:4">
      <c r="A67" s="8" t="s">
        <v>126</v>
      </c>
      <c r="B67" t="s">
        <v>182</v>
      </c>
      <c r="C67" t="s">
        <v>201</v>
      </c>
      <c r="D67" s="8">
        <v>200</v>
      </c>
    </row>
    <row r="68" spans="1:4">
      <c r="A68" s="8" t="s">
        <v>126</v>
      </c>
      <c r="B68" t="s">
        <v>172</v>
      </c>
      <c r="C68" t="s">
        <v>201</v>
      </c>
      <c r="D68" s="8">
        <v>210</v>
      </c>
    </row>
    <row r="69" spans="1:4">
      <c r="A69" s="8" t="s">
        <v>126</v>
      </c>
      <c r="B69" t="s">
        <v>174</v>
      </c>
      <c r="C69" t="s">
        <v>201</v>
      </c>
      <c r="D69" s="8">
        <v>220</v>
      </c>
    </row>
    <row r="70" spans="1:4">
      <c r="A70" s="8" t="s">
        <v>126</v>
      </c>
      <c r="B70" t="s">
        <v>182</v>
      </c>
      <c r="C70" t="s">
        <v>200</v>
      </c>
      <c r="D70" s="8">
        <v>230</v>
      </c>
    </row>
    <row r="71" spans="1:4">
      <c r="A71" s="8" t="s">
        <v>126</v>
      </c>
      <c r="B71" t="s">
        <v>172</v>
      </c>
      <c r="C71" t="s">
        <v>200</v>
      </c>
      <c r="D71" s="8">
        <v>240</v>
      </c>
    </row>
    <row r="72" spans="1:4">
      <c r="A72" s="8" t="s">
        <v>126</v>
      </c>
      <c r="B72" t="s">
        <v>174</v>
      </c>
      <c r="C72" t="s">
        <v>200</v>
      </c>
      <c r="D72" s="8">
        <v>250</v>
      </c>
    </row>
    <row r="73" spans="1:4">
      <c r="A73" s="8" t="s">
        <v>126</v>
      </c>
      <c r="B73" t="s">
        <v>183</v>
      </c>
      <c r="C73" t="s">
        <v>183</v>
      </c>
      <c r="D73" s="8">
        <v>260</v>
      </c>
    </row>
  </sheetData>
  <sortState xmlns:xlrd2="http://schemas.microsoft.com/office/spreadsheetml/2017/richdata2" ref="B42:B46">
    <sortCondition ref="B42:B46"/>
  </sortState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"/>
  <sheetViews>
    <sheetView showGridLines="0" workbookViewId="0">
      <selection activeCell="E7" sqref="E7"/>
    </sheetView>
  </sheetViews>
  <sheetFormatPr defaultRowHeight="13.7"/>
  <cols>
    <col min="1" max="1" width="28" customWidth="1"/>
    <col min="2" max="2" width="26" customWidth="1"/>
    <col min="3" max="3" width="21" customWidth="1"/>
    <col min="4" max="4" width="27.109375" customWidth="1"/>
    <col min="5" max="6" width="14" customWidth="1"/>
  </cols>
  <sheetData>
    <row r="1" spans="1:6" ht="14">
      <c r="A1" s="10" t="s">
        <v>93</v>
      </c>
      <c r="B1" s="11"/>
      <c r="C1" s="11"/>
      <c r="D1" s="11"/>
      <c r="E1" s="11"/>
      <c r="F1" s="11"/>
    </row>
    <row r="3" spans="1:6">
      <c r="A3" s="3" t="s">
        <v>94</v>
      </c>
      <c r="B3" s="3" t="s">
        <v>95</v>
      </c>
      <c r="C3" s="4" t="s">
        <v>96</v>
      </c>
      <c r="D3" s="4" t="s">
        <v>97</v>
      </c>
      <c r="E3" s="4" t="s">
        <v>98</v>
      </c>
      <c r="F3" s="4" t="s">
        <v>20</v>
      </c>
    </row>
    <row r="4" spans="1:6">
      <c r="A4" s="5" t="s">
        <v>184</v>
      </c>
      <c r="B4" s="5" t="s">
        <v>101</v>
      </c>
      <c r="C4" s="5" t="s">
        <v>186</v>
      </c>
      <c r="D4" s="5" t="s">
        <v>188</v>
      </c>
      <c r="E4" s="5" t="s">
        <v>187</v>
      </c>
      <c r="F4" s="5"/>
    </row>
    <row r="5" spans="1:6">
      <c r="A5" t="s">
        <v>185</v>
      </c>
      <c r="B5" t="s">
        <v>99</v>
      </c>
      <c r="C5" t="s">
        <v>189</v>
      </c>
      <c r="D5" t="s">
        <v>190</v>
      </c>
      <c r="E5" t="s">
        <v>191</v>
      </c>
    </row>
    <row r="6" spans="1:6">
      <c r="A6" t="s">
        <v>209</v>
      </c>
      <c r="B6" t="s">
        <v>99</v>
      </c>
      <c r="C6" t="s">
        <v>210</v>
      </c>
      <c r="D6" t="s">
        <v>211</v>
      </c>
      <c r="E6" t="s">
        <v>212</v>
      </c>
    </row>
    <row r="7" spans="1:6">
      <c r="A7" t="s">
        <v>213</v>
      </c>
      <c r="B7" t="s">
        <v>101</v>
      </c>
      <c r="C7" t="s">
        <v>214</v>
      </c>
      <c r="D7" t="s">
        <v>215</v>
      </c>
      <c r="E7" t="s">
        <v>216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showGridLines="0" workbookViewId="0">
      <selection activeCell="A8" sqref="A8"/>
    </sheetView>
  </sheetViews>
  <sheetFormatPr defaultRowHeight="13.7"/>
  <cols>
    <col min="1" max="1" width="17" customWidth="1"/>
    <col min="2" max="2" width="28" customWidth="1"/>
    <col min="3" max="3" width="26" customWidth="1"/>
  </cols>
  <sheetData>
    <row r="1" spans="1:3" ht="14">
      <c r="A1" s="10" t="s">
        <v>102</v>
      </c>
      <c r="B1" s="11"/>
      <c r="C1" s="11"/>
    </row>
    <row r="3" spans="1:3">
      <c r="A3" s="3" t="s">
        <v>11</v>
      </c>
      <c r="B3" s="3" t="s">
        <v>94</v>
      </c>
      <c r="C3" s="3" t="s">
        <v>103</v>
      </c>
    </row>
    <row r="4" spans="1:3">
      <c r="A4" s="5" t="s">
        <v>21</v>
      </c>
      <c r="B4" s="5" t="s">
        <v>184</v>
      </c>
      <c r="C4" s="5" t="s">
        <v>101</v>
      </c>
    </row>
    <row r="5" spans="1:3">
      <c r="A5" s="5" t="s">
        <v>21</v>
      </c>
      <c r="B5" s="5" t="s">
        <v>185</v>
      </c>
      <c r="C5" s="5" t="s">
        <v>99</v>
      </c>
    </row>
    <row r="6" spans="1:3">
      <c r="A6" t="s">
        <v>126</v>
      </c>
      <c r="B6" t="s">
        <v>209</v>
      </c>
      <c r="C6" t="s">
        <v>99</v>
      </c>
    </row>
    <row r="7" spans="1:3">
      <c r="A7" t="s">
        <v>126</v>
      </c>
      <c r="B7" t="s">
        <v>213</v>
      </c>
      <c r="C7" t="s">
        <v>101</v>
      </c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8"/>
  <sheetViews>
    <sheetView showGridLines="0" tabSelected="1" workbookViewId="0">
      <selection activeCell="F8" sqref="F8"/>
    </sheetView>
  </sheetViews>
  <sheetFormatPr defaultRowHeight="13.7"/>
  <cols>
    <col min="1" max="1" width="24" customWidth="1"/>
    <col min="2" max="2" width="16" customWidth="1"/>
    <col min="3" max="3" width="32" customWidth="1"/>
    <col min="4" max="4" width="17" customWidth="1"/>
    <col min="5" max="5" width="24" customWidth="1"/>
    <col min="6" max="6" width="18" customWidth="1"/>
    <col min="7" max="8" width="14" customWidth="1"/>
  </cols>
  <sheetData>
    <row r="1" spans="1:8" ht="14">
      <c r="A1" s="10" t="s">
        <v>104</v>
      </c>
      <c r="B1" s="11"/>
      <c r="C1" s="11"/>
      <c r="D1" s="11"/>
      <c r="E1" s="11"/>
      <c r="F1" s="11"/>
      <c r="G1" s="11"/>
      <c r="H1" s="11"/>
    </row>
    <row r="3" spans="1:8">
      <c r="A3" s="3" t="s">
        <v>97</v>
      </c>
      <c r="B3" s="4" t="s">
        <v>105</v>
      </c>
      <c r="C3" s="3" t="s">
        <v>106</v>
      </c>
      <c r="D3" s="4" t="s">
        <v>107</v>
      </c>
      <c r="E3" s="4" t="s">
        <v>94</v>
      </c>
      <c r="F3" s="4" t="s">
        <v>108</v>
      </c>
      <c r="G3" s="4" t="s">
        <v>109</v>
      </c>
      <c r="H3" s="4" t="s">
        <v>20</v>
      </c>
    </row>
    <row r="4" spans="1:8">
      <c r="A4" s="5" t="s">
        <v>192</v>
      </c>
      <c r="B4" s="5" t="s">
        <v>198</v>
      </c>
      <c r="C4" s="5" t="s">
        <v>119</v>
      </c>
      <c r="D4" s="5"/>
      <c r="E4" s="5"/>
      <c r="F4" s="5" t="s">
        <v>21</v>
      </c>
      <c r="G4" s="5"/>
      <c r="H4" s="5" t="s">
        <v>197</v>
      </c>
    </row>
    <row r="5" spans="1:8">
      <c r="A5" s="5" t="s">
        <v>193</v>
      </c>
      <c r="B5" s="5" t="s">
        <v>100</v>
      </c>
      <c r="C5" s="5" t="s">
        <v>99</v>
      </c>
      <c r="D5" s="5"/>
      <c r="E5" s="5" t="s">
        <v>185</v>
      </c>
      <c r="F5" s="5" t="s">
        <v>21</v>
      </c>
      <c r="G5" s="5"/>
      <c r="H5" s="5" t="s">
        <v>197</v>
      </c>
    </row>
    <row r="6" spans="1:8">
      <c r="A6" s="5" t="s">
        <v>194</v>
      </c>
      <c r="B6" s="5" t="s">
        <v>111</v>
      </c>
      <c r="C6" s="5" t="s">
        <v>112</v>
      </c>
      <c r="D6" s="5" t="s">
        <v>113</v>
      </c>
      <c r="E6" s="5"/>
      <c r="F6" s="5" t="s">
        <v>21</v>
      </c>
      <c r="G6" s="5" t="s">
        <v>114</v>
      </c>
      <c r="H6" s="5" t="s">
        <v>197</v>
      </c>
    </row>
    <row r="7" spans="1:8">
      <c r="A7" t="s">
        <v>195</v>
      </c>
      <c r="B7" t="s">
        <v>196</v>
      </c>
      <c r="C7" t="s">
        <v>101</v>
      </c>
      <c r="E7" t="s">
        <v>184</v>
      </c>
      <c r="F7" s="5" t="s">
        <v>21</v>
      </c>
      <c r="H7" t="s">
        <v>197</v>
      </c>
    </row>
    <row r="8" spans="1:8">
      <c r="A8" s="12" t="s">
        <v>217</v>
      </c>
      <c r="B8" t="s">
        <v>218</v>
      </c>
      <c r="C8" t="s">
        <v>110</v>
      </c>
      <c r="F8" s="13"/>
      <c r="H8" t="s">
        <v>219</v>
      </c>
    </row>
  </sheetData>
  <mergeCells count="1">
    <mergeCell ref="A1:H1"/>
  </mergeCells>
  <hyperlinks>
    <hyperlink ref="A8" r:id="rId1" xr:uid="{0E35F4FA-BC1A-4699-944C-9066C85EB0C6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9"/>
  <sheetViews>
    <sheetView showGridLines="0" workbookViewId="0">
      <selection activeCell="B9" sqref="B9"/>
    </sheetView>
  </sheetViews>
  <sheetFormatPr defaultRowHeight="13.7"/>
  <cols>
    <col min="1" max="1" width="19" customWidth="1"/>
    <col min="2" max="2" width="15" customWidth="1"/>
    <col min="3" max="4" width="26" customWidth="1"/>
    <col min="5" max="5" width="17" customWidth="1"/>
    <col min="6" max="6" width="14" customWidth="1"/>
    <col min="7" max="7" width="17" customWidth="1"/>
  </cols>
  <sheetData>
    <row r="1" spans="1:7" ht="14">
      <c r="A1" s="10" t="s">
        <v>115</v>
      </c>
      <c r="B1" s="11"/>
      <c r="C1" s="11"/>
      <c r="D1" s="11"/>
      <c r="E1" s="11"/>
      <c r="F1" s="11"/>
      <c r="G1" s="11"/>
    </row>
    <row r="3" spans="1:7">
      <c r="A3" s="4" t="s">
        <v>116</v>
      </c>
      <c r="B3" s="4" t="s">
        <v>63</v>
      </c>
      <c r="C3" s="4" t="s">
        <v>95</v>
      </c>
      <c r="D3" s="4" t="s">
        <v>106</v>
      </c>
      <c r="E3" s="4" t="s">
        <v>107</v>
      </c>
      <c r="F3" s="4" t="s">
        <v>117</v>
      </c>
      <c r="G3" s="4" t="s">
        <v>27</v>
      </c>
    </row>
    <row r="4" spans="1:7">
      <c r="A4" s="5" t="s">
        <v>23</v>
      </c>
      <c r="B4" s="5" t="s">
        <v>77</v>
      </c>
      <c r="C4" s="5" t="s">
        <v>101</v>
      </c>
      <c r="D4" s="5" t="s">
        <v>110</v>
      </c>
      <c r="E4" s="5" t="s">
        <v>113</v>
      </c>
      <c r="F4" s="5" t="s">
        <v>31</v>
      </c>
      <c r="G4" s="5" t="s">
        <v>30</v>
      </c>
    </row>
    <row r="5" spans="1:7">
      <c r="A5" s="5" t="s">
        <v>118</v>
      </c>
      <c r="B5" s="5" t="s">
        <v>79</v>
      </c>
      <c r="C5" s="5" t="s">
        <v>99</v>
      </c>
      <c r="D5" s="5" t="s">
        <v>119</v>
      </c>
      <c r="E5" s="5" t="s">
        <v>120</v>
      </c>
      <c r="F5" s="5" t="s">
        <v>75</v>
      </c>
      <c r="G5" s="5" t="s">
        <v>35</v>
      </c>
    </row>
    <row r="6" spans="1:7">
      <c r="A6" s="5" t="s">
        <v>121</v>
      </c>
      <c r="B6" s="5" t="s">
        <v>122</v>
      </c>
      <c r="C6" s="5"/>
      <c r="D6" s="5" t="s">
        <v>101</v>
      </c>
      <c r="E6" s="5" t="s">
        <v>123</v>
      </c>
      <c r="F6" s="5"/>
      <c r="G6" s="5" t="s">
        <v>38</v>
      </c>
    </row>
    <row r="7" spans="1:7">
      <c r="A7" s="5"/>
      <c r="B7" s="5" t="s">
        <v>73</v>
      </c>
      <c r="C7" s="5"/>
      <c r="D7" s="5" t="s">
        <v>99</v>
      </c>
      <c r="E7" s="5" t="s">
        <v>124</v>
      </c>
      <c r="F7" s="5"/>
      <c r="G7" s="5" t="s">
        <v>199</v>
      </c>
    </row>
    <row r="8" spans="1:7">
      <c r="A8" s="5"/>
      <c r="B8" s="5" t="s">
        <v>125</v>
      </c>
      <c r="C8" s="5"/>
      <c r="D8" s="5" t="s">
        <v>112</v>
      </c>
      <c r="E8" s="5"/>
      <c r="F8" s="5"/>
      <c r="G8" s="5"/>
    </row>
    <row r="9" spans="1:7">
      <c r="B9" s="8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Buildings</vt:lpstr>
      <vt:lpstr>Unit Types</vt:lpstr>
      <vt:lpstr>Unit Type Rooms</vt:lpstr>
      <vt:lpstr>Units</vt:lpstr>
      <vt:lpstr>Derived Unit Rooms</vt:lpstr>
      <vt:lpstr>Communal Areas</vt:lpstr>
      <vt:lpstr>Organisations</vt:lpstr>
      <vt:lpstr>Building Organisations</vt:lpstr>
      <vt:lpstr>Users Access</vt:lpstr>
      <vt:lpstr>Reference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 Gilbert</cp:lastModifiedBy>
  <dcterms:modified xsi:type="dcterms:W3CDTF">2026-06-24T13:10:00Z</dcterms:modified>
</cp:coreProperties>
</file>