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firstSheet="4" activeTab="4"/>
  </bookViews>
  <sheets>
    <sheet sheetId="1" name="README" state="visible" r:id="rId4"/>
    <sheet sheetId="2" name="Buildings" state="visible" r:id="rId5"/>
    <sheet sheetId="3" name="Unit Types" state="visible" r:id="rId6"/>
    <sheet sheetId="4" name="Unit Type Rooms" state="visible" r:id="rId7"/>
    <sheet sheetId="5" name="Units" state="visible" r:id="rId8"/>
    <sheet sheetId="6" name="Derived Unit Rooms" state="visible" r:id="rId9"/>
    <sheet sheetId="7" name="Communal Areas" state="visible" r:id="rId10"/>
    <sheet sheetId="8" name="Organisations" state="visible" r:id="rId11"/>
    <sheet sheetId="9" name="Building Organisations" state="visible" r:id="rId12"/>
    <sheet sheetId="10" name="Users Access" state="visible" r:id="rId13"/>
    <sheet sheetId="11" name="Reference Values" state="visible" r:id="rId14"/>
  </sheets>
  <definedNames>
    <definedName name="_xlnm._FilterDatabase">Units!$A$3:$P$152</definedName>
  </definedNames>
  <calcPr calcId="171027"/>
</workbook>
</file>

<file path=xl/sharedStrings.xml><?xml version="1.0" encoding="utf-8"?>
<sst xmlns="http://schemas.openxmlformats.org/spreadsheetml/2006/main" count="2234" uniqueCount="252">
  <si>
    <t>Bunnywell Database Cleanup Template</t>
  </si>
  <si>
    <t>Fill the sheets from left to right. Yellow headers are required. Unit rooms are now derived from editable Unit Types and Unit Type Rooms rules, with per-unit exceptions captured on the Units tab.</t>
  </si>
  <si>
    <t>Recommended process:</t>
  </si>
  <si>
    <t>1. Fill Buildings and stable building_code values.</t>
  </si>
  <si>
    <t>2. Maintain Unit Types and Unit Type Rooms if the default room logic changes.</t>
  </si>
  <si>
    <t>3. Fill Units, selecting unit_type and any exception flags such as ensuite, amenity, or MEP store.</t>
  </si>
  <si>
    <t>4. Add Communal Areas, Organisations, Building Organisations, and Users Access if those should be cleaned up.</t>
  </si>
  <si>
    <t>5. Use Derived Unit Rooms as a review sheet to see expected generated rooms.</t>
  </si>
  <si>
    <t>6. Send the completed workbook back for validation before database changes.</t>
  </si>
  <si>
    <t>7. Do not use this workbook directly against production until staging has been validated.</t>
  </si>
  <si>
    <t>One row per real building/block. building_code is the stable import key used by every other sheet.</t>
  </si>
  <si>
    <t>building_code</t>
  </si>
  <si>
    <t>building_name</t>
  </si>
  <si>
    <t>address_line_1</t>
  </si>
  <si>
    <t>address_line_2</t>
  </si>
  <si>
    <t>town</t>
  </si>
  <si>
    <t>postcode</t>
  </si>
  <si>
    <t>status</t>
  </si>
  <si>
    <t>practical_completion_date</t>
  </si>
  <si>
    <t>defects_liability_end_date</t>
  </si>
  <si>
    <t>notes</t>
  </si>
  <si>
    <t>FORUM</t>
  </si>
  <si>
    <t>Forum House</t>
  </si>
  <si>
    <t>Abbey View</t>
  </si>
  <si>
    <t>Everard Close</t>
  </si>
  <si>
    <t>St Albans</t>
  </si>
  <si>
    <t>AL1 2PS</t>
  </si>
  <si>
    <t>active</t>
  </si>
  <si>
    <t>TRINITY</t>
  </si>
  <si>
    <t>Trinity Point</t>
  </si>
  <si>
    <t>New Road</t>
  </si>
  <si>
    <t>Gravesend</t>
  </si>
  <si>
    <t>DA11 0FD</t>
  </si>
  <si>
    <t>PRIORS</t>
  </si>
  <si>
    <t>Priors Gate</t>
  </si>
  <si>
    <t>Steelhouse Lane</t>
  </si>
  <si>
    <t>Birmingham</t>
  </si>
  <si>
    <t>B4 6NW</t>
  </si>
  <si>
    <t>Editable unit type catalogue. Change or add rows here if the default room logic changes in future.</t>
  </si>
  <si>
    <t>unit_type</t>
  </si>
  <si>
    <t>description</t>
  </si>
  <si>
    <t>base_room_set</t>
  </si>
  <si>
    <t>Studio</t>
  </si>
  <si>
    <t>Studio apartment</t>
  </si>
  <si>
    <t>1-bed</t>
  </si>
  <si>
    <t>yes</t>
  </si>
  <si>
    <t>Same default rooms as 1-bed</t>
  </si>
  <si>
    <t>One bedroom apartment</t>
  </si>
  <si>
    <t>Default one bedroom rules</t>
  </si>
  <si>
    <t>1-bed + study</t>
  </si>
  <si>
    <t>One bedroom plus study</t>
  </si>
  <si>
    <t>Adds Utility by default</t>
  </si>
  <si>
    <t>2-bed</t>
  </si>
  <si>
    <t>Two bedroom apartment</t>
  </si>
  <si>
    <t>Bedroom becomes Bedroom 1 and Bedroom 2 is added</t>
  </si>
  <si>
    <t>Editable default room rules. One row per default room per base_room_set. Sort order controls generated room order.</t>
  </si>
  <si>
    <t>sort_order</t>
  </si>
  <si>
    <t>room_name</t>
  </si>
  <si>
    <t>area_type</t>
  </si>
  <si>
    <t>default_for_all_units</t>
  </si>
  <si>
    <t>Entrance / Hallway</t>
  </si>
  <si>
    <t>unit_room</t>
  </si>
  <si>
    <t>All standard unit types</t>
  </si>
  <si>
    <t>Kitchen</t>
  </si>
  <si>
    <t>Living Room</t>
  </si>
  <si>
    <t>Bathroom</t>
  </si>
  <si>
    <t>Bedroom</t>
  </si>
  <si>
    <t>Store</t>
  </si>
  <si>
    <t>Utility</t>
  </si>
  <si>
    <t>Extra room for 1-bed + study</t>
  </si>
  <si>
    <t>Bedroom 1</t>
  </si>
  <si>
    <t>Renamed from Bedroom</t>
  </si>
  <si>
    <t>Bedroom 2</t>
  </si>
  <si>
    <t>unit_number</t>
  </si>
  <si>
    <t>floor</t>
  </si>
  <si>
    <t>size_sqm</t>
  </si>
  <si>
    <t>size_sqft</t>
  </si>
  <si>
    <t>sale_status</t>
  </si>
  <si>
    <t>list_price</t>
  </si>
  <si>
    <t>completion_date</t>
  </si>
  <si>
    <t>handover_date</t>
  </si>
  <si>
    <t>parking_bays</t>
  </si>
  <si>
    <t>has_ensuite</t>
  </si>
  <si>
    <t>has_private_amenity</t>
  </si>
  <si>
    <t>private_amenity_name</t>
  </si>
  <si>
    <t>has_mep_store</t>
  </si>
  <si>
    <t>LG01</t>
  </si>
  <si>
    <t>Lower Ground</t>
  </si>
  <si>
    <t>for_sale</t>
  </si>
  <si>
    <t>no</t>
  </si>
  <si>
    <t>Courtyard</t>
  </si>
  <si>
    <t>LG02</t>
  </si>
  <si>
    <t>LG03</t>
  </si>
  <si>
    <t>LG04</t>
  </si>
  <si>
    <t>LG05</t>
  </si>
  <si>
    <t>LG06</t>
  </si>
  <si>
    <t>LG07</t>
  </si>
  <si>
    <t>LG08</t>
  </si>
  <si>
    <t>LG09</t>
  </si>
  <si>
    <t>LG10</t>
  </si>
  <si>
    <t>LG11</t>
  </si>
  <si>
    <t>G01</t>
  </si>
  <si>
    <t>Ground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</si>
  <si>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</si>
  <si>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</si>
  <si>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</si>
  <si>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</si>
  <si>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</si>
  <si>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</si>
  <si>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</si>
  <si>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</si>
  <si>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</si>
  <si>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</si>
  <si>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</si>
  <si>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G13</t>
  </si>
  <si>
    <t>G14</t>
  </si>
  <si>
    <t>G15</t>
  </si>
  <si>
    <t>First</t>
  </si>
  <si>
    <t>Second</t>
  </si>
  <si>
    <t>Third</t>
  </si>
  <si>
    <t>17 &amp; 20</t>
  </si>
  <si>
    <t>Fourth</t>
  </si>
  <si>
    <t>handed over to lease firm until sold</t>
  </si>
  <si>
    <t>Fifth</t>
  </si>
  <si>
    <t>LG12</t>
  </si>
  <si>
    <t>LG13</t>
  </si>
  <si>
    <t>LG14</t>
  </si>
  <si>
    <t>Roof Terrace</t>
  </si>
  <si>
    <t>Review sheet showing expected generated rooms from the editable Unit Types, Unit Type Rooms, and Units exception columns. Use this as a review guide; the import script should implement these workbook rules.</t>
  </si>
  <si>
    <t>source</t>
  </si>
  <si>
    <t>101</t>
  </si>
  <si>
    <t>default</t>
  </si>
  <si>
    <t>From 2-bed base_room_set</t>
  </si>
  <si>
    <t>exception</t>
  </si>
  <si>
    <t>Ensuite</t>
  </si>
  <si>
    <t>From Units has_ensuite</t>
  </si>
  <si>
    <t>Balcony</t>
  </si>
  <si>
    <t>From Units has_private_amenity/private_amenity_name</t>
  </si>
  <si>
    <t>102</t>
  </si>
  <si>
    <t>From 1-bed base_room_set</t>
  </si>
  <si>
    <t>MEP Store</t>
  </si>
  <si>
    <t>From Units has_mep_store</t>
  </si>
  <si>
    <t>Building-level areas that are not inside a unit.</t>
  </si>
  <si>
    <t>area_name</t>
  </si>
  <si>
    <t>Car Park</t>
  </si>
  <si>
    <t>Central Stair Core</t>
  </si>
  <si>
    <t>Communal Gardens</t>
  </si>
  <si>
    <t>Corridor</t>
  </si>
  <si>
    <t>Cycle Store</t>
  </si>
  <si>
    <t>Entrance Lobby</t>
  </si>
  <si>
    <t>Landlord Plant Room</t>
  </si>
  <si>
    <t>Lifts</t>
  </si>
  <si>
    <t>Plant Riser Room</t>
  </si>
  <si>
    <t>Plant Service Room</t>
  </si>
  <si>
    <t>Ramp</t>
  </si>
  <si>
    <t>Western Stair Core</t>
  </si>
  <si>
    <t>Amenity Space (work)</t>
  </si>
  <si>
    <t>Bin Store</t>
  </si>
  <si>
    <t>Riser (by amenity)</t>
  </si>
  <si>
    <t>Riser (by lifts)</t>
  </si>
  <si>
    <t>Amenity Space (rest)</t>
  </si>
  <si>
    <t>Amenity Space (play)</t>
  </si>
  <si>
    <t>Roof</t>
  </si>
  <si>
    <t>Landscaped Area</t>
  </si>
  <si>
    <t>Parcel Room</t>
  </si>
  <si>
    <t>Social/Games Space</t>
  </si>
  <si>
    <t>Sprinkler Room</t>
  </si>
  <si>
    <t>Work From Home Space</t>
  </si>
  <si>
    <t>Plant Room</t>
  </si>
  <si>
    <t>Basement</t>
  </si>
  <si>
    <t>Communal Courtyard</t>
  </si>
  <si>
    <t>Ramp and Entrance Gate</t>
  </si>
  <si>
    <t>#42 Stair Core</t>
  </si>
  <si>
    <t>#44 Stair Core</t>
  </si>
  <si>
    <t>Communal Room</t>
  </si>
  <si>
    <t>Lift</t>
  </si>
  <si>
    <t>Rear Stair Core</t>
  </si>
  <si>
    <t>#42 Stair Core and Entrance</t>
  </si>
  <si>
    <t>#43 Stair Core and Entrance</t>
  </si>
  <si>
    <t>#44 Stair Core and Entrance</t>
  </si>
  <si>
    <t>Contractors, developer representatives, and other project organisations.</t>
  </si>
  <si>
    <t>organisation_name</t>
  </si>
  <si>
    <t>organisation_type</t>
  </si>
  <si>
    <t>main_contact_name</t>
  </si>
  <si>
    <t>email</t>
  </si>
  <si>
    <t>phone</t>
  </si>
  <si>
    <t>Airey Miller</t>
  </si>
  <si>
    <t>developer_representative</t>
  </si>
  <si>
    <t>Harry Vanson</t>
  </si>
  <si>
    <t>harry.vanson@aireymiller.com</t>
  </si>
  <si>
    <t>07917 916839</t>
  </si>
  <si>
    <t>Benchmark Construction</t>
  </si>
  <si>
    <t>contractor</t>
  </si>
  <si>
    <t>Craig Longstaff</t>
  </si>
  <si>
    <t>craig@benchmarklimited.co.uk</t>
  </si>
  <si>
    <t>07833 222834</t>
  </si>
  <si>
    <t>Grove Construction</t>
  </si>
  <si>
    <t>Fiona Twardawa</t>
  </si>
  <si>
    <t>fiona@grvconstruction.co.uk</t>
  </si>
  <si>
    <t>01344 283333</t>
  </si>
  <si>
    <t>Ridge</t>
  </si>
  <si>
    <t>John Dring</t>
  </si>
  <si>
    <t xml:space="preserve">jdring@ridge.co.uk </t>
  </si>
  <si>
    <t>07826 875941</t>
  </si>
  <si>
    <t>Q Two Consulting</t>
  </si>
  <si>
    <t>Ben Lawrence</t>
  </si>
  <si>
    <t xml:space="preserve">blawrence@qtwo-consulting.co.uk </t>
  </si>
  <si>
    <t>07354 848052</t>
  </si>
  <si>
    <t>The Agents Club</t>
  </si>
  <si>
    <t>sales_agent</t>
  </si>
  <si>
    <t>Josh Steeples</t>
  </si>
  <si>
    <t>josh@theagentsclub.com</t>
  </si>
  <si>
    <t>07951 951688</t>
  </si>
  <si>
    <t>Links organisations to buildings.</t>
  </si>
  <si>
    <t>role_on_project</t>
  </si>
  <si>
    <t>main_contractor</t>
  </si>
  <si>
    <t>Use unit_refs as BUILDING_CODE:UNIT_NUMBER. Multiple values can be comma separated.</t>
  </si>
  <si>
    <t>name</t>
  </si>
  <si>
    <t>role</t>
  </si>
  <si>
    <t>resident_type</t>
  </si>
  <si>
    <t>building_codes</t>
  </si>
  <si>
    <t>unit_refs</t>
  </si>
  <si>
    <t>developer@bunnywell.co.uk</t>
  </si>
  <si>
    <t>Danny Dev</t>
  </si>
  <si>
    <t>developer</t>
  </si>
  <si>
    <t>Test User</t>
  </si>
  <si>
    <t>contractor@bunnywell.co.uk</t>
  </si>
  <si>
    <t>Sam Contractor</t>
  </si>
  <si>
    <t>resident@bunnywell.co.uk</t>
  </si>
  <si>
    <t>Riley Resident</t>
  </si>
  <si>
    <t>resident</t>
  </si>
  <si>
    <t>leaseholder</t>
  </si>
  <si>
    <t>FORUM:101</t>
  </si>
  <si>
    <t>am@bunnywell.co.uk</t>
  </si>
  <si>
    <t>CoW Sample</t>
  </si>
  <si>
    <t>carl.gilbert@gmail.com</t>
  </si>
  <si>
    <t>Carl Gilbert</t>
  </si>
  <si>
    <t>admin</t>
  </si>
  <si>
    <t>Staging admin</t>
  </si>
  <si>
    <t>Allowed values used by dropdown columns.</t>
  </si>
  <si>
    <t>building_status</t>
  </si>
  <si>
    <t>yes_no</t>
  </si>
  <si>
    <t>inactive</t>
  </si>
  <si>
    <t>reserved</t>
  </si>
  <si>
    <t>tenant</t>
  </si>
  <si>
    <t>archived</t>
  </si>
  <si>
    <t>exchanged</t>
  </si>
  <si>
    <t>letting_agent</t>
  </si>
  <si>
    <t>completed</t>
  </si>
  <si>
    <t>managing_agent</t>
  </si>
  <si>
    <t>studio</t>
  </si>
  <si>
    <t>handed_over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</si>
</sst>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£&quot;#,##0;[Red]-&quot;£&quot;#,##0"/>
  </numFmts>
  <fonts count="7" x14ac:knownFonts="1">
    <font>
      <color theme="1"/>
      <family val="2"/>
      <scheme val="minor"/>
      <sz val="11"/>
      <name val="Calibri"/>
    </font>
    <font>
      <b/>
      <color rgb="FF0F3D2E"/>
      <sz val="16"/>
      <name val="Carlito"/>
    </font>
    <font>
      <sz val="11"/>
      <name val="Carlito"/>
    </font>
    <font>
      <i/>
      <color rgb="FF617169"/>
      <sz val="11"/>
      <name val="Carlito"/>
    </font>
    <font>
      <b/>
      <color rgb="FF000000"/>
      <sz val="11"/>
      <name val="Carlito"/>
    </font>
    <font>
      <b/>
      <color rgb="FFFFFFFF"/>
      <sz val="11"/>
      <name val="Carlito"/>
    </font>
    <font>
      <u/>
      <color theme="10"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0F3D2E"/>
      </patternFill>
    </fill>
  </fills>
  <borders count="3">
    <border>
      <left/>
      <right/>
      <top/>
      <bottom/>
      <diagonal/>
    </border>
    <border>
      <left style="thin">
        <color rgb="FFD9DED6"/>
      </left>
      <right style="thin">
        <color rgb="FFD9DED6"/>
      </right>
      <top style="thin">
        <color rgb="FFD9DED6"/>
      </top>
      <bottom style="thin">
        <color rgb="FFD9DED6"/>
      </bottom>
      <diagonal/>
    </border>
    <border>
      <left style="thin">
        <color rgb="FFD9DED6"/>
      </left>
      <right style="thin">
        <color rgb="FFD9DED6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/>
    <xf numFmtId="0" fontId="4" fillId="2" borderId="1" xfId="0" applyFont="1" applyFill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2" fillId="0" borderId="1" xfId="0" applyFont="1" applyBorder="1"/>
    <xf numFmtId="14" fontId="2" fillId="0" borderId="1" xfId="0" applyNumberFormat="1" applyFont="1" applyBorder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2" xfId="0" applyFont="1" applyBorder="1"/>
    <xf numFmtId="0" fontId="6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mailto:carl.gilber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 showGridLines="0" zoomScale="100" zoomScaleNormal="100">
      <selection activeCell="A12" sqref="A12"/>
    </sheetView>
  </sheetViews>
  <sheetFormatPr defaultRowHeight="14.25" outlineLevelRow="0" outlineLevelCol="0" x14ac:dyDescent="0" customHeight="1"/>
  <cols>
    <col min="1" max="1" width="120" customWidth="1"/>
  </cols>
  <sheetData>
    <row r="1" ht="20.25" customHeight="1" spans="1:1" x14ac:dyDescent="0.25">
      <c r="A1" s="1" t="s">
        <v>0</v>
      </c>
    </row>
    <row r="3" ht="28.5" customHeight="1" spans="1:1" x14ac:dyDescent="0.25">
      <c r="A3" s="2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 showGridLines="0" zoomScale="100" zoomScaleNormal="100">
      <selection activeCell="H6" sqref="H6"/>
    </sheetView>
  </sheetViews>
  <sheetFormatPr defaultRowHeight="14.25" outlineLevelRow="0" outlineLevelCol="0" x14ac:dyDescent="0" customHeight="1"/>
  <cols>
    <col min="1" max="2" width="17" customWidth="1"/>
    <col min="3" max="4" width="18" customWidth="1"/>
    <col min="5" max="7" width="14" customWidth="1"/>
    <col min="8" max="8" width="29" customWidth="1"/>
    <col min="9" max="9" width="30" customWidth="1"/>
    <col min="10" max="10" width="34" customWidth="1"/>
  </cols>
  <sheetData>
    <row r="1" spans="1:10" x14ac:dyDescent="0.25">
      <c r="A1" s="3" t="s">
        <v>10</v>
      </c>
      <c r="B1" s="4"/>
      <c r="C1" s="4"/>
      <c r="D1" s="4"/>
      <c r="E1" s="4"/>
      <c r="F1" s="4"/>
      <c r="G1" s="4"/>
      <c r="H1" s="4"/>
      <c r="I1" s="4"/>
      <c r="J1" s="4"/>
    </row>
    <row r="3" ht="15" customHeight="1" spans="1:10" x14ac:dyDescent="0.25">
      <c r="A3" s="5" t="s">
        <v>11</v>
      </c>
      <c r="B3" s="5" t="s">
        <v>12</v>
      </c>
      <c r="C3" s="6" t="s">
        <v>13</v>
      </c>
      <c r="D3" s="6" t="s">
        <v>14</v>
      </c>
      <c r="E3" s="6" t="s">
        <v>15</v>
      </c>
      <c r="F3" s="6" t="s">
        <v>16</v>
      </c>
      <c r="G3" s="5" t="s">
        <v>17</v>
      </c>
      <c r="H3" s="6" t="s">
        <v>18</v>
      </c>
      <c r="I3" s="6" t="s">
        <v>19</v>
      </c>
      <c r="J3" s="6" t="s">
        <v>20</v>
      </c>
    </row>
    <row r="4" spans="1:10" x14ac:dyDescent="0.25">
      <c r="A4" s="7" t="s">
        <v>21</v>
      </c>
      <c r="B4" s="7" t="s">
        <v>22</v>
      </c>
      <c r="C4" s="7" t="s">
        <v>23</v>
      </c>
      <c r="D4" s="7" t="s">
        <v>24</v>
      </c>
      <c r="E4" s="7" t="s">
        <v>25</v>
      </c>
      <c r="F4" s="7" t="s">
        <v>26</v>
      </c>
      <c r="G4" s="7" t="s">
        <v>27</v>
      </c>
      <c r="H4" s="7"/>
      <c r="I4" s="7"/>
      <c r="J4" s="7"/>
    </row>
    <row r="5" spans="1:10" x14ac:dyDescent="0.25">
      <c r="A5" s="7" t="s">
        <v>28</v>
      </c>
      <c r="B5" s="7" t="s">
        <v>29</v>
      </c>
      <c r="C5" s="7" t="s">
        <v>30</v>
      </c>
      <c r="D5" s="7"/>
      <c r="E5" s="7" t="s">
        <v>31</v>
      </c>
      <c r="F5" s="7" t="s">
        <v>32</v>
      </c>
      <c r="G5" s="7" t="s">
        <v>27</v>
      </c>
      <c r="H5" s="8">
        <v>45790</v>
      </c>
      <c r="I5" s="8">
        <v>46186</v>
      </c>
      <c r="J5" s="7"/>
    </row>
    <row r="6" spans="1:7" x14ac:dyDescent="0.25">
      <c r="A6" t="s">
        <v>33</v>
      </c>
      <c r="B6" t="s">
        <v>34</v>
      </c>
      <c r="C6" t="s">
        <v>35</v>
      </c>
      <c r="E6" t="s">
        <v>36</v>
      </c>
      <c r="F6" t="s">
        <v>37</v>
      </c>
      <c r="G6" t="s">
        <v>27</v>
      </c>
    </row>
  </sheetData>
  <mergeCells count="1">
    <mergeCell ref="A1:J1"/>
  </mergeCells>
  <dataValidations count="2">
    <dataValidation type="list" sqref="G10:G1000">
      <formula1>"active,inactive,archived"</formula1>
    </dataValidation>
    <dataValidation type="list" sqref="G4:G1000">
      <formula1>"active,inactive,archived"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showGridLines="0" zoomScale="100" zoomScaleNormal="100">
      <selection activeCell="A4" sqref="A4"/>
    </sheetView>
  </sheetViews>
  <sheetFormatPr defaultRowHeight="14.25" outlineLevelRow="0" outlineLevelCol="0" x14ac:dyDescent="0" customHeight="1"/>
  <cols>
    <col min="1" max="1" width="15" customWidth="1"/>
    <col min="2" max="2" width="24" customWidth="1"/>
    <col min="3" max="3" width="17" customWidth="1"/>
    <col min="4" max="4" width="14" customWidth="1"/>
    <col min="5" max="5" width="34" customWidth="1"/>
  </cols>
  <sheetData>
    <row r="1" spans="1:5" x14ac:dyDescent="0.25">
      <c r="A1" s="3" t="s">
        <v>38</v>
      </c>
      <c r="B1" s="4"/>
      <c r="C1" s="4"/>
      <c r="D1" s="4"/>
      <c r="E1" s="4"/>
    </row>
    <row r="3" ht="15" customHeight="1" spans="1:5" x14ac:dyDescent="0.25">
      <c r="A3" s="5" t="s">
        <v>39</v>
      </c>
      <c r="B3" s="6" t="s">
        <v>40</v>
      </c>
      <c r="C3" s="5" t="s">
        <v>41</v>
      </c>
      <c r="D3" s="5" t="s">
        <v>27</v>
      </c>
      <c r="E3" s="6" t="s">
        <v>20</v>
      </c>
    </row>
    <row r="4" spans="1:5" x14ac:dyDescent="0.25">
      <c r="A4" s="7" t="s">
        <v>42</v>
      </c>
      <c r="B4" s="7" t="s">
        <v>43</v>
      </c>
      <c r="C4" s="7" t="s">
        <v>44</v>
      </c>
      <c r="D4" s="7" t="s">
        <v>45</v>
      </c>
      <c r="E4" s="7" t="s">
        <v>46</v>
      </c>
    </row>
    <row r="5" spans="1:5" x14ac:dyDescent="0.25">
      <c r="A5" s="7" t="s">
        <v>44</v>
      </c>
      <c r="B5" s="7" t="s">
        <v>47</v>
      </c>
      <c r="C5" s="7" t="s">
        <v>44</v>
      </c>
      <c r="D5" s="7" t="s">
        <v>45</v>
      </c>
      <c r="E5" s="7" t="s">
        <v>48</v>
      </c>
    </row>
    <row r="6" spans="1:5" x14ac:dyDescent="0.25">
      <c r="A6" s="7" t="s">
        <v>49</v>
      </c>
      <c r="B6" s="7" t="s">
        <v>50</v>
      </c>
      <c r="C6" s="7" t="s">
        <v>49</v>
      </c>
      <c r="D6" s="7" t="s">
        <v>45</v>
      </c>
      <c r="E6" s="7" t="s">
        <v>51</v>
      </c>
    </row>
    <row r="7" spans="1:5" x14ac:dyDescent="0.25">
      <c r="A7" s="7" t="s">
        <v>52</v>
      </c>
      <c r="B7" s="7" t="s">
        <v>53</v>
      </c>
      <c r="C7" s="7" t="s">
        <v>52</v>
      </c>
      <c r="D7" s="7" t="s">
        <v>45</v>
      </c>
      <c r="E7" s="7" t="s">
        <v>54</v>
      </c>
    </row>
  </sheetData>
  <mergeCells count="1">
    <mergeCell ref="A1:E1"/>
  </mergeCells>
  <dataValidations count="4">
    <dataValidation type="list" sqref="C10:C1000">
      <formula1>"1-bed,1-bed + study,2-bed"</formula1>
    </dataValidation>
    <dataValidation type="list" sqref="C4:C1000">
      <formula1>"1-bed,1-bed + study,2-bed"</formula1>
    </dataValidation>
    <dataValidation type="list" sqref="D10:D1000">
      <formula1>"yes,no"</formula1>
    </dataValidation>
    <dataValidation type="list" sqref="D4:D1000">
      <formula1>"yes,no"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 showGridLines="0" zoomScale="100" zoomScaleNormal="100">
      <selection activeCell="F23" sqref="F23"/>
    </sheetView>
  </sheetViews>
  <sheetFormatPr defaultRowHeight="14.25" outlineLevelRow="0" outlineLevelCol="0" x14ac:dyDescent="0" customHeight="1"/>
  <cols>
    <col min="1" max="1" width="17" customWidth="1"/>
    <col min="2" max="2" width="14" customWidth="1"/>
    <col min="3" max="3" width="20" customWidth="1"/>
    <col min="4" max="4" width="14" customWidth="1"/>
    <col min="5" max="5" width="25" customWidth="1"/>
    <col min="6" max="6" width="30" customWidth="1"/>
  </cols>
  <sheetData>
    <row r="1" spans="1:6" x14ac:dyDescent="0.25">
      <c r="A1" s="3" t="s">
        <v>55</v>
      </c>
      <c r="B1" s="4"/>
      <c r="C1" s="4"/>
      <c r="D1" s="4"/>
      <c r="E1" s="4"/>
      <c r="F1" s="4"/>
    </row>
    <row r="3" ht="15" customHeight="1" spans="1:6" x14ac:dyDescent="0.25">
      <c r="A3" s="5" t="s">
        <v>41</v>
      </c>
      <c r="B3" s="5" t="s">
        <v>56</v>
      </c>
      <c r="C3" s="5" t="s">
        <v>57</v>
      </c>
      <c r="D3" s="5" t="s">
        <v>58</v>
      </c>
      <c r="E3" s="6" t="s">
        <v>59</v>
      </c>
      <c r="F3" s="6" t="s">
        <v>20</v>
      </c>
    </row>
    <row r="4" spans="1:6" x14ac:dyDescent="0.25">
      <c r="A4" s="7" t="s">
        <v>44</v>
      </c>
      <c r="B4" s="7">
        <v>10</v>
      </c>
      <c r="C4" s="7" t="s">
        <v>60</v>
      </c>
      <c r="D4" s="7" t="s">
        <v>61</v>
      </c>
      <c r="E4" s="7" t="s">
        <v>45</v>
      </c>
      <c r="F4" s="7" t="s">
        <v>62</v>
      </c>
    </row>
    <row r="5" spans="1:6" x14ac:dyDescent="0.25">
      <c r="A5" s="7" t="s">
        <v>44</v>
      </c>
      <c r="B5" s="7">
        <v>20</v>
      </c>
      <c r="C5" s="7" t="s">
        <v>63</v>
      </c>
      <c r="D5" s="7" t="s">
        <v>61</v>
      </c>
      <c r="E5" s="7" t="s">
        <v>45</v>
      </c>
      <c r="F5" s="7"/>
    </row>
    <row r="6" spans="1:6" x14ac:dyDescent="0.25">
      <c r="A6" s="7" t="s">
        <v>44</v>
      </c>
      <c r="B6" s="7">
        <v>30</v>
      </c>
      <c r="C6" s="7" t="s">
        <v>64</v>
      </c>
      <c r="D6" s="7" t="s">
        <v>61</v>
      </c>
      <c r="E6" s="7" t="s">
        <v>45</v>
      </c>
      <c r="F6" s="7"/>
    </row>
    <row r="7" spans="1:6" x14ac:dyDescent="0.25">
      <c r="A7" s="7" t="s">
        <v>44</v>
      </c>
      <c r="B7" s="7">
        <v>40</v>
      </c>
      <c r="C7" s="7" t="s">
        <v>65</v>
      </c>
      <c r="D7" s="7" t="s">
        <v>61</v>
      </c>
      <c r="E7" s="7" t="s">
        <v>45</v>
      </c>
      <c r="F7" s="7"/>
    </row>
    <row r="8" spans="1:6" x14ac:dyDescent="0.25">
      <c r="A8" s="7" t="s">
        <v>44</v>
      </c>
      <c r="B8" s="7">
        <v>50</v>
      </c>
      <c r="C8" s="7" t="s">
        <v>66</v>
      </c>
      <c r="D8" s="7" t="s">
        <v>61</v>
      </c>
      <c r="E8" s="7" t="s">
        <v>45</v>
      </c>
      <c r="F8" s="7"/>
    </row>
    <row r="9" spans="1:6" x14ac:dyDescent="0.25">
      <c r="A9" s="7" t="s">
        <v>44</v>
      </c>
      <c r="B9" s="7">
        <v>60</v>
      </c>
      <c r="C9" s="7" t="s">
        <v>67</v>
      </c>
      <c r="D9" s="7" t="s">
        <v>61</v>
      </c>
      <c r="E9" s="7" t="s">
        <v>45</v>
      </c>
      <c r="F9" s="7"/>
    </row>
    <row r="10" spans="1:6" x14ac:dyDescent="0.25">
      <c r="A10" s="7" t="s">
        <v>49</v>
      </c>
      <c r="B10" s="7">
        <v>10</v>
      </c>
      <c r="C10" s="7" t="s">
        <v>60</v>
      </c>
      <c r="D10" s="7" t="s">
        <v>61</v>
      </c>
      <c r="E10" s="7" t="s">
        <v>45</v>
      </c>
      <c r="F10" s="7"/>
    </row>
    <row r="11" spans="1:6" x14ac:dyDescent="0.25">
      <c r="A11" s="7" t="s">
        <v>49</v>
      </c>
      <c r="B11" s="7">
        <v>20</v>
      </c>
      <c r="C11" s="7" t="s">
        <v>63</v>
      </c>
      <c r="D11" s="7" t="s">
        <v>61</v>
      </c>
      <c r="E11" s="7" t="s">
        <v>45</v>
      </c>
      <c r="F11" s="7"/>
    </row>
    <row r="12" spans="1:6" x14ac:dyDescent="0.25">
      <c r="A12" s="7" t="s">
        <v>49</v>
      </c>
      <c r="B12" s="7">
        <v>30</v>
      </c>
      <c r="C12" s="7" t="s">
        <v>64</v>
      </c>
      <c r="D12" s="7" t="s">
        <v>61</v>
      </c>
      <c r="E12" s="7" t="s">
        <v>45</v>
      </c>
      <c r="F12" s="7"/>
    </row>
    <row r="13" spans="1:6" x14ac:dyDescent="0.25">
      <c r="A13" s="7" t="s">
        <v>49</v>
      </c>
      <c r="B13" s="7">
        <v>40</v>
      </c>
      <c r="C13" s="7" t="s">
        <v>65</v>
      </c>
      <c r="D13" s="7" t="s">
        <v>61</v>
      </c>
      <c r="E13" s="7" t="s">
        <v>45</v>
      </c>
      <c r="F13" s="7"/>
    </row>
    <row r="14" spans="1:6" x14ac:dyDescent="0.25">
      <c r="A14" s="7" t="s">
        <v>49</v>
      </c>
      <c r="B14" s="7">
        <v>50</v>
      </c>
      <c r="C14" s="7" t="s">
        <v>66</v>
      </c>
      <c r="D14" s="7" t="s">
        <v>61</v>
      </c>
      <c r="E14" s="7" t="s">
        <v>45</v>
      </c>
      <c r="F14" s="7"/>
    </row>
    <row r="15" spans="1:6" x14ac:dyDescent="0.25">
      <c r="A15" s="7" t="s">
        <v>49</v>
      </c>
      <c r="B15" s="7">
        <v>60</v>
      </c>
      <c r="C15" s="7" t="s">
        <v>68</v>
      </c>
      <c r="D15" s="7" t="s">
        <v>61</v>
      </c>
      <c r="E15" s="7" t="s">
        <v>45</v>
      </c>
      <c r="F15" s="7" t="s">
        <v>69</v>
      </c>
    </row>
    <row r="16" spans="1:6" x14ac:dyDescent="0.25">
      <c r="A16" s="7" t="s">
        <v>49</v>
      </c>
      <c r="B16" s="7">
        <v>70</v>
      </c>
      <c r="C16" s="7" t="s">
        <v>67</v>
      </c>
      <c r="D16" s="7" t="s">
        <v>61</v>
      </c>
      <c r="E16" s="7" t="s">
        <v>45</v>
      </c>
      <c r="F16" s="7"/>
    </row>
    <row r="17" spans="1:6" x14ac:dyDescent="0.25">
      <c r="A17" s="7" t="s">
        <v>52</v>
      </c>
      <c r="B17" s="7">
        <v>10</v>
      </c>
      <c r="C17" s="7" t="s">
        <v>60</v>
      </c>
      <c r="D17" s="7" t="s">
        <v>61</v>
      </c>
      <c r="E17" s="7" t="s">
        <v>45</v>
      </c>
      <c r="F17" s="7"/>
    </row>
    <row r="18" spans="1:6" x14ac:dyDescent="0.25">
      <c r="A18" s="7" t="s">
        <v>52</v>
      </c>
      <c r="B18" s="7">
        <v>20</v>
      </c>
      <c r="C18" s="7" t="s">
        <v>63</v>
      </c>
      <c r="D18" s="7" t="s">
        <v>61</v>
      </c>
      <c r="E18" s="7" t="s">
        <v>45</v>
      </c>
      <c r="F18" s="7"/>
    </row>
    <row r="19" spans="1:6" x14ac:dyDescent="0.25">
      <c r="A19" s="7" t="s">
        <v>52</v>
      </c>
      <c r="B19" s="7">
        <v>30</v>
      </c>
      <c r="C19" s="7" t="s">
        <v>64</v>
      </c>
      <c r="D19" s="7" t="s">
        <v>61</v>
      </c>
      <c r="E19" s="7" t="s">
        <v>45</v>
      </c>
      <c r="F19" s="7"/>
    </row>
    <row r="20" spans="1:6" x14ac:dyDescent="0.25">
      <c r="A20" s="7" t="s">
        <v>52</v>
      </c>
      <c r="B20" s="7">
        <v>40</v>
      </c>
      <c r="C20" s="7" t="s">
        <v>65</v>
      </c>
      <c r="D20" s="7" t="s">
        <v>61</v>
      </c>
      <c r="E20" s="7" t="s">
        <v>45</v>
      </c>
      <c r="F20" s="7"/>
    </row>
    <row r="21" spans="1:6" x14ac:dyDescent="0.25">
      <c r="A21" s="7" t="s">
        <v>52</v>
      </c>
      <c r="B21" s="7">
        <v>50</v>
      </c>
      <c r="C21" s="7" t="s">
        <v>70</v>
      </c>
      <c r="D21" s="7" t="s">
        <v>61</v>
      </c>
      <c r="E21" s="7" t="s">
        <v>45</v>
      </c>
      <c r="F21" s="7" t="s">
        <v>71</v>
      </c>
    </row>
    <row r="22" spans="1:6" x14ac:dyDescent="0.25">
      <c r="A22" s="7" t="s">
        <v>52</v>
      </c>
      <c r="B22" s="7">
        <v>60</v>
      </c>
      <c r="C22" s="7" t="s">
        <v>72</v>
      </c>
      <c r="D22" s="7" t="s">
        <v>61</v>
      </c>
      <c r="E22" s="7" t="s">
        <v>45</v>
      </c>
      <c r="F22" s="7"/>
    </row>
    <row r="23" spans="1:6" x14ac:dyDescent="0.25">
      <c r="A23" s="7" t="s">
        <v>52</v>
      </c>
      <c r="B23" s="7">
        <v>70</v>
      </c>
      <c r="C23" s="7" t="s">
        <v>67</v>
      </c>
      <c r="D23" s="7" t="s">
        <v>61</v>
      </c>
      <c r="E23" s="7" t="s">
        <v>45</v>
      </c>
      <c r="F23" s="7"/>
    </row>
  </sheetData>
  <mergeCells count="1">
    <mergeCell ref="A1:F1"/>
  </mergeCells>
  <dataValidations count="6">
    <dataValidation type="list" sqref="A10:A1002">
      <formula1>"1-bed,1-bed + study,2-bed"</formula1>
    </dataValidation>
    <dataValidation type="list" sqref="A4:A1002">
      <formula1>"1-bed,1-bed + study,2-bed"</formula1>
    </dataValidation>
    <dataValidation type="list" sqref="D10:D1002">
      <formula1>"unit_room"</formula1>
    </dataValidation>
    <dataValidation type="list" sqref="D4:D1002">
      <formula1>"unit_room"</formula1>
    </dataValidation>
    <dataValidation type="list" sqref="E10:E1002">
      <formula1>"yes,no"</formula1>
    </dataValidation>
    <dataValidation type="list" sqref="E4:E1002">
      <formula1>"yes,no"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6"/>
  <sheetViews>
    <sheetView workbookViewId="0" showGridLines="0" zoomScale="98" zoomScaleNormal="98">
      <pane ySplit="3" topLeftCell="A196" activePane="bottomLeft" state="frozen"/>
      <selection pane="bottomLeft" activeCell="N200" sqref="N200"/>
    </sheetView>
  </sheetViews>
  <sheetFormatPr defaultRowHeight="14.25" outlineLevelRow="0" outlineLevelCol="0" x14ac:dyDescent="0" customHeight="1"/>
  <cols>
    <col min="1" max="1" width="17" style="9" customWidth="1"/>
    <col min="2" max="2" width="15" style="9" customWidth="1"/>
    <col min="3" max="5" width="14" style="9" customWidth="1"/>
    <col min="6" max="6" width="14" style="9" hidden="1" customWidth="1"/>
    <col min="7" max="8" width="15" style="9" hidden="1" customWidth="1"/>
    <col min="9" max="9" width="19" style="9" hidden="1" customWidth="1"/>
    <col min="10" max="10" width="17" style="9" hidden="1" customWidth="1"/>
    <col min="11" max="11" width="16" style="9" hidden="1" customWidth="1"/>
    <col min="12" max="12" width="15" style="9" customWidth="1"/>
    <col min="13" max="13" width="23" style="9" customWidth="1"/>
    <col min="14" max="14" width="24" style="9" customWidth="1"/>
    <col min="15" max="15" width="17" style="9" customWidth="1"/>
    <col min="16" max="16" width="33" style="9" customWidth="1"/>
    <col min="17" max="16383" width="9" style="9" customWidth="1"/>
  </cols>
  <sheetData>
    <row r="1" spans="1:17" x14ac:dyDescent="0.25">
      <c r="A1" s="10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3" ht="15" customHeight="1" spans="1:16" x14ac:dyDescent="0.25">
      <c r="A3" s="11" t="s">
        <v>11</v>
      </c>
      <c r="B3" s="11" t="s">
        <v>73</v>
      </c>
      <c r="C3" s="12" t="s">
        <v>74</v>
      </c>
      <c r="D3" s="11" t="s">
        <v>39</v>
      </c>
      <c r="E3" s="12" t="s">
        <v>75</v>
      </c>
      <c r="F3" s="12" t="s">
        <v>76</v>
      </c>
      <c r="G3" s="11" t="s">
        <v>77</v>
      </c>
      <c r="H3" s="11" t="s">
        <v>78</v>
      </c>
      <c r="I3" s="12" t="s">
        <v>79</v>
      </c>
      <c r="J3" s="12" t="s">
        <v>80</v>
      </c>
      <c r="K3" s="12" t="s">
        <v>81</v>
      </c>
      <c r="L3" s="12" t="s">
        <v>82</v>
      </c>
      <c r="M3" s="12" t="s">
        <v>83</v>
      </c>
      <c r="N3" s="12" t="s">
        <v>84</v>
      </c>
      <c r="O3" s="12" t="s">
        <v>85</v>
      </c>
      <c r="P3" s="12" t="s">
        <v>20</v>
      </c>
    </row>
    <row r="4" spans="1:15" x14ac:dyDescent="0.25">
      <c r="A4" s="13" t="s">
        <v>21</v>
      </c>
      <c r="B4" s="9" t="s">
        <v>86</v>
      </c>
      <c r="C4" s="9" t="s">
        <v>87</v>
      </c>
      <c r="D4" s="9" t="s">
        <v>49</v>
      </c>
      <c r="E4" s="9">
        <v>61.4</v>
      </c>
      <c r="F4" s="14">
        <f>CONVERT(E4,"m^2","ft^2")</f>
        <v>660.904099585977</v>
      </c>
      <c r="G4" s="13" t="s">
        <v>88</v>
      </c>
      <c r="L4" s="9" t="s">
        <v>89</v>
      </c>
      <c r="M4" s="9" t="s">
        <v>45</v>
      </c>
      <c r="N4" s="9" t="s">
        <v>90</v>
      </c>
      <c r="O4" s="9" t="s">
        <v>89</v>
      </c>
    </row>
    <row r="5" spans="1:15" x14ac:dyDescent="0.25">
      <c r="A5" s="13" t="s">
        <v>21</v>
      </c>
      <c r="B5" s="9" t="s">
        <v>91</v>
      </c>
      <c r="C5" s="9" t="s">
        <v>87</v>
      </c>
      <c r="D5" s="9" t="s">
        <v>49</v>
      </c>
      <c r="E5" s="9">
        <v>54.4</v>
      </c>
      <c r="F5" s="14">
        <f t="shared" ref="F5:F68" si="0">CONVERT(E5,"m^2","ft^2")</f>
        <v>585.5567266690089</v>
      </c>
      <c r="G5" s="13" t="s">
        <v>88</v>
      </c>
      <c r="L5" s="9" t="s">
        <v>89</v>
      </c>
      <c r="M5" s="9" t="s">
        <v>45</v>
      </c>
      <c r="N5" s="9" t="s">
        <v>90</v>
      </c>
      <c r="O5" s="9" t="s">
        <v>89</v>
      </c>
    </row>
    <row r="6" spans="1:15" x14ac:dyDescent="0.25">
      <c r="A6" s="13" t="s">
        <v>21</v>
      </c>
      <c r="B6" s="9" t="s">
        <v>92</v>
      </c>
      <c r="C6" s="9" t="s">
        <v>87</v>
      </c>
      <c r="D6" s="9" t="s">
        <v>49</v>
      </c>
      <c r="E6" s="9">
        <v>48.2</v>
      </c>
      <c r="F6" s="14">
        <f t="shared" si="0"/>
        <v>518.8204820854086</v>
      </c>
      <c r="G6" s="13" t="s">
        <v>88</v>
      </c>
      <c r="L6" s="9" t="s">
        <v>89</v>
      </c>
      <c r="M6" s="9" t="s">
        <v>45</v>
      </c>
      <c r="N6" s="9" t="s">
        <v>90</v>
      </c>
      <c r="O6" s="9" t="s">
        <v>89</v>
      </c>
    </row>
    <row r="7" spans="1:15" x14ac:dyDescent="0.25">
      <c r="A7" s="13" t="s">
        <v>21</v>
      </c>
      <c r="B7" s="9" t="s">
        <v>93</v>
      </c>
      <c r="C7" s="9" t="s">
        <v>87</v>
      </c>
      <c r="D7" s="9" t="s">
        <v>44</v>
      </c>
      <c r="E7" s="9">
        <v>44.6</v>
      </c>
      <c r="F7" s="14">
        <f t="shared" si="0"/>
        <v>480.07040458525364</v>
      </c>
      <c r="G7" s="13" t="s">
        <v>88</v>
      </c>
      <c r="L7" s="9" t="s">
        <v>89</v>
      </c>
      <c r="M7" s="9" t="s">
        <v>45</v>
      </c>
      <c r="N7" s="9" t="s">
        <v>90</v>
      </c>
      <c r="O7" s="9" t="s">
        <v>89</v>
      </c>
    </row>
    <row r="8" spans="1:15" x14ac:dyDescent="0.25">
      <c r="A8" s="13" t="s">
        <v>21</v>
      </c>
      <c r="B8" s="9" t="s">
        <v>94</v>
      </c>
      <c r="C8" s="9" t="s">
        <v>87</v>
      </c>
      <c r="D8" s="9" t="s">
        <v>49</v>
      </c>
      <c r="E8" s="9">
        <v>50.8</v>
      </c>
      <c r="F8" s="14">
        <f t="shared" si="0"/>
        <v>546.8066491688539</v>
      </c>
      <c r="G8" s="13" t="s">
        <v>88</v>
      </c>
      <c r="L8" s="9" t="s">
        <v>89</v>
      </c>
      <c r="M8" s="9" t="s">
        <v>45</v>
      </c>
      <c r="N8" s="9" t="s">
        <v>90</v>
      </c>
      <c r="O8" s="9" t="s">
        <v>89</v>
      </c>
    </row>
    <row r="9" spans="1:15" x14ac:dyDescent="0.25">
      <c r="A9" s="13" t="s">
        <v>21</v>
      </c>
      <c r="B9" s="9" t="s">
        <v>95</v>
      </c>
      <c r="C9" s="9" t="s">
        <v>87</v>
      </c>
      <c r="D9" s="9" t="s">
        <v>52</v>
      </c>
      <c r="E9" s="9">
        <v>84.9</v>
      </c>
      <c r="F9" s="14">
        <f t="shared" si="0"/>
        <v>913.8559943786555</v>
      </c>
      <c r="G9" s="13" t="s">
        <v>88</v>
      </c>
      <c r="L9" s="9" t="s">
        <v>45</v>
      </c>
      <c r="M9" s="9" t="s">
        <v>45</v>
      </c>
      <c r="N9" s="9" t="s">
        <v>90</v>
      </c>
      <c r="O9" s="9" t="s">
        <v>89</v>
      </c>
    </row>
    <row r="10" spans="1:15" x14ac:dyDescent="0.25">
      <c r="A10" s="13" t="s">
        <v>21</v>
      </c>
      <c r="B10" s="9" t="s">
        <v>96</v>
      </c>
      <c r="C10" s="9" t="s">
        <v>87</v>
      </c>
      <c r="D10" s="9" t="s">
        <v>49</v>
      </c>
      <c r="E10" s="9">
        <v>68.6</v>
      </c>
      <c r="F10" s="14">
        <f t="shared" si="0"/>
        <v>738.4042545862868</v>
      </c>
      <c r="G10" s="13" t="s">
        <v>88</v>
      </c>
      <c r="L10" s="9" t="s">
        <v>89</v>
      </c>
      <c r="M10" s="9" t="s">
        <v>45</v>
      </c>
      <c r="N10" s="9" t="s">
        <v>90</v>
      </c>
      <c r="O10" s="9" t="s">
        <v>89</v>
      </c>
    </row>
    <row r="11" spans="1:15" x14ac:dyDescent="0.25">
      <c r="A11" s="13" t="s">
        <v>21</v>
      </c>
      <c r="B11" s="9" t="s">
        <v>97</v>
      </c>
      <c r="C11" s="9" t="s">
        <v>87</v>
      </c>
      <c r="D11" s="9" t="s">
        <v>49</v>
      </c>
      <c r="E11" s="9">
        <v>56.3</v>
      </c>
      <c r="F11" s="14">
        <f t="shared" si="0"/>
        <v>606.0081564607573</v>
      </c>
      <c r="G11" s="13" t="s">
        <v>88</v>
      </c>
      <c r="L11" s="9" t="s">
        <v>89</v>
      </c>
      <c r="M11" s="9" t="s">
        <v>45</v>
      </c>
      <c r="N11" s="9" t="s">
        <v>90</v>
      </c>
      <c r="O11" s="9" t="s">
        <v>89</v>
      </c>
    </row>
    <row r="12" spans="1:15" x14ac:dyDescent="0.25">
      <c r="A12" s="13" t="s">
        <v>21</v>
      </c>
      <c r="B12" s="9" t="s">
        <v>98</v>
      </c>
      <c r="C12" s="9" t="s">
        <v>87</v>
      </c>
      <c r="D12" s="9" t="s">
        <v>52</v>
      </c>
      <c r="E12" s="9">
        <v>86.2</v>
      </c>
      <c r="F12" s="14">
        <f t="shared" si="0"/>
        <v>927.849077920378</v>
      </c>
      <c r="G12" s="13" t="s">
        <v>88</v>
      </c>
      <c r="L12" s="9" t="s">
        <v>45</v>
      </c>
      <c r="M12" s="9" t="s">
        <v>45</v>
      </c>
      <c r="N12" s="9" t="s">
        <v>90</v>
      </c>
      <c r="O12" s="9" t="s">
        <v>45</v>
      </c>
    </row>
    <row r="13" spans="1:15" x14ac:dyDescent="0.25">
      <c r="A13" s="13" t="s">
        <v>21</v>
      </c>
      <c r="B13" s="9" t="s">
        <v>99</v>
      </c>
      <c r="C13" s="9" t="s">
        <v>87</v>
      </c>
      <c r="D13" s="9" t="s">
        <v>49</v>
      </c>
      <c r="E13" s="9">
        <v>58.6</v>
      </c>
      <c r="F13" s="14">
        <f t="shared" si="0"/>
        <v>630.7651504191897</v>
      </c>
      <c r="G13" s="13" t="s">
        <v>88</v>
      </c>
      <c r="L13" s="9" t="s">
        <v>89</v>
      </c>
      <c r="M13" s="9" t="s">
        <v>45</v>
      </c>
      <c r="N13" s="9" t="s">
        <v>90</v>
      </c>
      <c r="O13" s="9" t="s">
        <v>89</v>
      </c>
    </row>
    <row r="14" spans="1:15" x14ac:dyDescent="0.25">
      <c r="A14" s="13" t="s">
        <v>21</v>
      </c>
      <c r="B14" s="9" t="s">
        <v>100</v>
      </c>
      <c r="C14" s="9" t="s">
        <v>87</v>
      </c>
      <c r="D14" s="9" t="s">
        <v>49</v>
      </c>
      <c r="E14" s="9">
        <v>51.3</v>
      </c>
      <c r="F14" s="14">
        <f t="shared" si="0"/>
        <v>552.1886043772087</v>
      </c>
      <c r="G14" s="13" t="s">
        <v>88</v>
      </c>
      <c r="L14" s="9" t="s">
        <v>89</v>
      </c>
      <c r="M14" s="9" t="s">
        <v>45</v>
      </c>
      <c r="N14" s="9" t="s">
        <v>90</v>
      </c>
      <c r="O14" s="9" t="s">
        <v>89</v>
      </c>
    </row>
    <row r="15" spans="1:15" x14ac:dyDescent="0.25">
      <c r="A15" s="13" t="s">
        <v>21</v>
      </c>
      <c r="B15" s="9" t="s">
        <v>101</v>
      </c>
      <c r="C15" s="9" t="s">
        <v>102</v>
      </c>
      <c r="D15" s="9" t="s">
        <v>44</v>
      </c>
      <c r="E15" s="9">
        <v>45.7</v>
      </c>
      <c r="F15" s="14">
        <f t="shared" si="0"/>
        <v>491.9107060436344</v>
      </c>
      <c r="G15" s="13" t="s">
        <v>88</v>
      </c>
      <c r="L15" s="9" t="s">
        <v>89</v>
      </c>
      <c r="M15" s="9" t="s">
        <v>89</v>
      </c>
      <c r="O15" s="9" t="s">
        <v>89</v>
      </c>
    </row>
    <row r="16" spans="1:15" x14ac:dyDescent="0.25">
      <c r="A16" s="13" t="s">
        <v>21</v>
      </c>
      <c r="B16" s="9" t="s">
        <v>103</v>
      </c>
      <c r="C16" s="9" t="s">
        <v>102</v>
      </c>
      <c r="D16" s="9" t="s">
        <v>44</v>
      </c>
      <c r="E16" s="9">
        <v>40.9</v>
      </c>
      <c r="F16" s="14">
        <f t="shared" si="0"/>
        <v>440.24393604342765</v>
      </c>
      <c r="G16" s="13" t="s">
        <v>88</v>
      </c>
      <c r="L16" s="9" t="s">
        <v>89</v>
      </c>
      <c r="M16" s="9" t="s">
        <v>89</v>
      </c>
      <c r="O16" s="9" t="s">
        <v>89</v>
      </c>
    </row>
    <row r="17" spans="1:15" x14ac:dyDescent="0.25">
      <c r="A17" s="13" t="s">
        <v>21</v>
      </c>
      <c r="B17" s="9" t="s">
        <v>104</v>
      </c>
      <c r="C17" s="9" t="s">
        <v>102</v>
      </c>
      <c r="D17" s="9" t="s">
        <v>44</v>
      </c>
      <c r="E17" s="9">
        <v>44.7</v>
      </c>
      <c r="F17" s="14">
        <f t="shared" si="0"/>
        <v>481.14679562692464</v>
      </c>
      <c r="G17" s="13" t="s">
        <v>88</v>
      </c>
      <c r="L17" s="9" t="s">
        <v>89</v>
      </c>
      <c r="M17" s="9" t="s">
        <v>89</v>
      </c>
      <c r="O17" s="9" t="s">
        <v>89</v>
      </c>
    </row>
    <row r="18" spans="1:15" x14ac:dyDescent="0.25">
      <c r="A18" s="13" t="s">
        <v>21</v>
      </c>
      <c r="B18" s="9" t="s">
        <v>105</v>
      </c>
      <c r="C18" s="9" t="s">
        <v>102</v>
      </c>
      <c r="D18" s="9" t="s">
        <v>49</v>
      </c>
      <c r="E18" s="9">
        <v>59.6</v>
      </c>
      <c r="F18" s="14">
        <f t="shared" si="0"/>
        <v>641.5290608358995</v>
      </c>
      <c r="G18" s="13" t="s">
        <v>88</v>
      </c>
      <c r="L18" s="9" t="s">
        <v>89</v>
      </c>
      <c r="M18" s="9" t="s">
        <v>89</v>
      </c>
      <c r="O18" s="9" t="s">
        <v>45</v>
      </c>
    </row>
    <row r="19" spans="1:15" x14ac:dyDescent="0.25">
      <c r="A19" s="13" t="s">
        <v>21</v>
      </c>
      <c r="B19" s="9" t="s">
        <v>106</v>
      </c>
      <c r="C19" s="9" t="s">
        <v>102</v>
      </c>
      <c r="D19" s="9" t="s">
        <v>44</v>
      </c>
      <c r="E19" s="9">
        <v>42.3</v>
      </c>
      <c r="F19" s="14">
        <f t="shared" si="0"/>
        <v>455.3134106268212</v>
      </c>
      <c r="G19" s="13" t="s">
        <v>88</v>
      </c>
      <c r="L19" s="9" t="s">
        <v>89</v>
      </c>
      <c r="M19" s="9" t="s">
        <v>89</v>
      </c>
      <c r="O19" s="9" t="s">
        <v>89</v>
      </c>
    </row>
    <row r="20" spans="1:15" x14ac:dyDescent="0.25">
      <c r="A20" s="13" t="s">
        <v>21</v>
      </c>
      <c r="B20" s="9" t="s">
        <v>107</v>
      </c>
      <c r="C20" s="9" t="s">
        <v>102</v>
      </c>
      <c r="D20" s="9" t="s">
        <v>44</v>
      </c>
      <c r="E20" s="9">
        <v>44.5</v>
      </c>
      <c r="F20" s="14">
        <f t="shared" si="0"/>
        <v>478.99401354358264</v>
      </c>
      <c r="G20" s="13" t="s">
        <v>88</v>
      </c>
      <c r="L20" s="9" t="s">
        <v>89</v>
      </c>
      <c r="M20" s="9" t="s">
        <v>89</v>
      </c>
      <c r="O20" s="9" t="s">
        <v>89</v>
      </c>
    </row>
    <row r="21" spans="1:15" x14ac:dyDescent="0.25">
      <c r="A21" s="13" t="s">
        <v>21</v>
      </c>
      <c r="B21" s="9" t="s">
        <v>108</v>
      </c>
      <c r="C21" s="9" t="s">
        <v>102</v>
      </c>
      <c r="D21" s="9" t="s">
        <v>44</v>
      </c>
      <c r="E21" s="9">
        <v>38.8</v>
      </c>
      <c r="F21" s="14">
        <f t="shared" si="0"/>
        <v>417.6397241683372</v>
      </c>
      <c r="G21" s="13" t="s">
        <v>88</v>
      </c>
      <c r="L21" s="9" t="s">
        <v>89</v>
      </c>
      <c r="M21" s="9" t="s">
        <v>89</v>
      </c>
      <c r="O21" s="9" t="s">
        <v>89</v>
      </c>
    </row>
    <row r="22" spans="1:15" x14ac:dyDescent="0.25">
      <c r="A22" s="13" t="s">
        <v>21</v>
      </c>
      <c r="B22" s="9" t="s">
        <v>109</v>
      </c>
      <c r="C22" s="9" t="s">
        <v>102</v>
      </c>
      <c r="D22" s="9" t="s">
        <v>49</v>
      </c>
      <c r="E22" s="9">
        <v>45</v>
      </c>
      <c r="F22" s="14">
        <f t="shared" si="0"/>
        <v>484.3759687519375</v>
      </c>
      <c r="G22" s="13" t="s">
        <v>88</v>
      </c>
      <c r="L22" s="9" t="s">
        <v>89</v>
      </c>
      <c r="M22" s="9" t="s">
        <v>89</v>
      </c>
      <c r="O22" s="9" t="s">
        <v>89</v>
      </c>
    </row>
    <row r="23" spans="1:15" x14ac:dyDescent="0.25">
      <c r="A23" s="13" t="s">
        <v>21</v>
      </c>
      <c r="B23" s="9" t="s">
        <v>110</v>
      </c>
      <c r="C23" s="9" t="s">
        <v>102</v>
      </c>
      <c r="D23" s="9" t="s">
        <v>49</v>
      </c>
      <c r="E23" s="9">
        <v>49.9</v>
      </c>
      <c r="F23" s="14">
        <f t="shared" si="0"/>
        <v>537.1191297938151</v>
      </c>
      <c r="G23" s="13" t="s">
        <v>88</v>
      </c>
      <c r="L23" s="9" t="s">
        <v>89</v>
      </c>
      <c r="M23" s="9" t="s">
        <v>89</v>
      </c>
      <c r="O23" s="9" t="s">
        <v>89</v>
      </c>
    </row>
    <row r="24" spans="1:15" x14ac:dyDescent="0.25">
      <c r="A24" s="13" t="s">
        <v>21</v>
      </c>
      <c r="B24" s="9" t="s">
        <v>111</v>
      </c>
      <c r="C24" s="9" t="s">
        <v>102</v>
      </c>
      <c r="D24" s="9" t="s">
        <v>44</v>
      </c>
      <c r="E24" s="9">
        <v>48</v>
      </c>
      <c r="F24" s="14">
        <f t="shared" si="0"/>
        <v>516.6677000020667</v>
      </c>
      <c r="G24" s="13" t="s">
        <v>88</v>
      </c>
      <c r="L24" s="9" t="s">
        <v>89</v>
      </c>
      <c r="M24" s="9" t="s">
        <v>89</v>
      </c>
      <c r="O24" s="9" t="s">
        <v>89</v>
      </c>
    </row>
    <row r="25" spans="1:15" x14ac:dyDescent="0.25">
      <c r="A25" s="13" t="s">
        <v>21</v>
      </c>
      <c r="B25" s="9" t="s">
        <v>112</v>
      </c>
      <c r="C25" s="9" t="s">
        <v>102</v>
      </c>
      <c r="D25" s="9" t="s">
        <v>44</v>
      </c>
      <c r="E25" s="9">
        <v>41.7</v>
      </c>
      <c r="F25" s="14">
        <f t="shared" si="0"/>
        <v>448.8550643767955</v>
      </c>
      <c r="G25" s="13" t="s">
        <v>88</v>
      </c>
      <c r="L25" s="9" t="s">
        <v>89</v>
      </c>
      <c r="M25" s="9" t="s">
        <v>89</v>
      </c>
      <c r="O25" s="9" t="s">
        <v>89</v>
      </c>
    </row>
    <row r="26" spans="1:15" x14ac:dyDescent="0.25">
      <c r="A26" s="13" t="s">
        <v>21</v>
      </c>
      <c r="B26" s="9" t="s">
        <v>113</v>
      </c>
      <c r="C26" s="9" t="s">
        <v>102</v>
      </c>
      <c r="D26" s="9" t="s">
        <v>44</v>
      </c>
      <c r="E26" s="9">
        <v>39.1</v>
      </c>
      <c r="F26" s="14">
        <f t="shared" si="0"/>
        <v>420.86889729335013</v>
      </c>
      <c r="G26" s="13" t="s">
        <v>88</v>
      </c>
      <c r="L26" s="9" t="s">
        <v>89</v>
      </c>
      <c r="M26" s="9" t="s">
        <v>89</v>
      </c>
      <c r="O26" s="9" t="s">
        <v>89</v>
      </c>
    </row>
    <row r="27" spans="1:15" x14ac:dyDescent="0.25">
      <c r="A27" s="13" t="s">
        <v>21</v>
      </c>
      <c r="B27" s="9" t="s">
        <v>114</v>
      </c>
      <c r="C27" s="9" t="s">
        <v>102</v>
      </c>
      <c r="D27" s="9" t="s">
        <v>44</v>
      </c>
      <c r="E27" s="9">
        <v>40.1</v>
      </c>
      <c r="F27" s="14">
        <f t="shared" si="0"/>
        <v>431.63280771005986</v>
      </c>
      <c r="G27" s="13" t="s">
        <v>88</v>
      </c>
      <c r="L27" s="9" t="s">
        <v>89</v>
      </c>
      <c r="M27" s="9" t="s">
        <v>89</v>
      </c>
      <c r="O27" s="9" t="s">
        <v>89</v>
      </c>
    </row>
    <row r="28" spans="1:15" x14ac:dyDescent="0.25">
      <c r="A28" s="13" t="s">
        <v>21</v>
      </c>
      <c r="B28" s="9" t="s">
        <v>115</v>
      </c>
      <c r="C28" s="9" t="s">
        <v>102</v>
      </c>
      <c r="D28" s="9" t="s">
        <v>44</v>
      </c>
      <c r="E28" s="9">
        <v>42.5</v>
      </c>
      <c r="F28" s="14">
        <f t="shared" si="0"/>
        <v>457.46619271016317</v>
      </c>
      <c r="G28" s="13" t="s">
        <v>88</v>
      </c>
      <c r="L28" s="9" t="s">
        <v>89</v>
      </c>
      <c r="M28" s="9" t="s">
        <v>89</v>
      </c>
      <c r="O28" s="9" t="s">
        <v>89</v>
      </c>
    </row>
    <row r="29" spans="1:15" x14ac:dyDescent="0.25">
      <c r="A29" s="13" t="s">
        <v>21</v>
      </c>
      <c r="B29" s="9" t="s">
        <v>116</v>
      </c>
      <c r="C29" s="9" t="s">
        <v>102</v>
      </c>
      <c r="D29" s="9" t="s">
        <v>44</v>
      </c>
      <c r="E29" s="9">
        <v>42</v>
      </c>
      <c r="F29" s="14">
        <f t="shared" si="0"/>
        <v>452.08423750180833</v>
      </c>
      <c r="G29" s="13" t="s">
        <v>88</v>
      </c>
      <c r="L29" s="9" t="s">
        <v>89</v>
      </c>
      <c r="M29" s="9" t="s">
        <v>89</v>
      </c>
      <c r="O29" s="9" t="s">
        <v>89</v>
      </c>
    </row>
    <row r="30" spans="1:15" x14ac:dyDescent="0.25">
      <c r="A30" s="13" t="s">
        <v>21</v>
      </c>
      <c r="B30" s="9">
        <v>101</v>
      </c>
      <c r="C30" s="9" t="s">
        <v>117</v>
      </c>
      <c r="D30" s="9" t="s">
        <v>44</v>
      </c>
      <c r="E30" s="9">
        <v>46.2</v>
      </c>
      <c r="F30" s="14">
        <f t="shared" si="0"/>
        <v>497.2926612519892</v>
      </c>
      <c r="G30" s="13" t="s">
        <v>88</v>
      </c>
      <c r="L30" s="9" t="s">
        <v>89</v>
      </c>
      <c r="M30" s="9" t="s">
        <v>89</v>
      </c>
      <c r="O30" s="9" t="s">
        <v>89</v>
      </c>
    </row>
    <row r="31" spans="1:15" x14ac:dyDescent="0.25">
      <c r="A31" s="13" t="s">
        <v>21</v>
      </c>
      <c r="B31" s="9">
        <v>102</v>
      </c>
      <c r="C31" s="9" t="s">
        <v>117</v>
      </c>
      <c r="D31" s="9" t="s">
        <v>44</v>
      </c>
      <c r="E31" s="9">
        <v>41.3</v>
      </c>
      <c r="F31" s="14">
        <f t="shared" si="0"/>
        <v>444.5495002101115</v>
      </c>
      <c r="G31" s="13" t="s">
        <v>88</v>
      </c>
      <c r="L31" s="9" t="s">
        <v>89</v>
      </c>
      <c r="M31" s="9" t="s">
        <v>89</v>
      </c>
      <c r="O31" s="9" t="s">
        <v>89</v>
      </c>
    </row>
    <row r="32" spans="1:15" x14ac:dyDescent="0.25">
      <c r="A32" s="13" t="s">
        <v>21</v>
      </c>
      <c r="B32" s="9">
        <v>103</v>
      </c>
      <c r="C32" s="9" t="s">
        <v>117</v>
      </c>
      <c r="D32" s="9" t="s">
        <v>44</v>
      </c>
      <c r="E32" s="9">
        <v>44.7</v>
      </c>
      <c r="F32" s="14">
        <f t="shared" si="0"/>
        <v>481.14679562692464</v>
      </c>
      <c r="G32" s="13" t="s">
        <v>88</v>
      </c>
      <c r="L32" s="9" t="s">
        <v>89</v>
      </c>
      <c r="M32" s="9" t="s">
        <v>89</v>
      </c>
      <c r="O32" s="9" t="s">
        <v>89</v>
      </c>
    </row>
    <row r="33" spans="1:15" x14ac:dyDescent="0.25">
      <c r="A33" s="13" t="s">
        <v>21</v>
      </c>
      <c r="B33" s="9">
        <v>104</v>
      </c>
      <c r="C33" s="9" t="s">
        <v>117</v>
      </c>
      <c r="D33" s="9" t="s">
        <v>49</v>
      </c>
      <c r="E33" s="9">
        <v>61.2</v>
      </c>
      <c r="F33" s="14">
        <f t="shared" si="0"/>
        <v>658.7513175026351</v>
      </c>
      <c r="G33" s="13" t="s">
        <v>88</v>
      </c>
      <c r="L33" s="9" t="s">
        <v>89</v>
      </c>
      <c r="M33" s="9" t="s">
        <v>89</v>
      </c>
      <c r="O33" s="9" t="s">
        <v>89</v>
      </c>
    </row>
    <row r="34" spans="1:15" x14ac:dyDescent="0.25">
      <c r="A34" s="13" t="s">
        <v>21</v>
      </c>
      <c r="B34" s="9">
        <v>105</v>
      </c>
      <c r="C34" s="9" t="s">
        <v>117</v>
      </c>
      <c r="D34" s="9" t="s">
        <v>44</v>
      </c>
      <c r="E34" s="9">
        <v>42.2</v>
      </c>
      <c r="F34" s="14">
        <f t="shared" si="0"/>
        <v>454.23701958515034</v>
      </c>
      <c r="G34" s="13" t="s">
        <v>88</v>
      </c>
      <c r="L34" s="9" t="s">
        <v>89</v>
      </c>
      <c r="M34" s="9" t="s">
        <v>89</v>
      </c>
      <c r="O34" s="9" t="s">
        <v>89</v>
      </c>
    </row>
    <row r="35" spans="1:15" x14ac:dyDescent="0.25">
      <c r="A35" s="13" t="s">
        <v>21</v>
      </c>
      <c r="B35" s="9">
        <v>106</v>
      </c>
      <c r="C35" s="9" t="s">
        <v>117</v>
      </c>
      <c r="D35" s="9" t="s">
        <v>44</v>
      </c>
      <c r="E35" s="9">
        <v>44.4</v>
      </c>
      <c r="F35" s="14">
        <f t="shared" si="0"/>
        <v>477.9176225019117</v>
      </c>
      <c r="G35" s="13" t="s">
        <v>88</v>
      </c>
      <c r="L35" s="9" t="s">
        <v>89</v>
      </c>
      <c r="M35" s="9" t="s">
        <v>89</v>
      </c>
      <c r="O35" s="9" t="s">
        <v>89</v>
      </c>
    </row>
    <row r="36" spans="1:15" x14ac:dyDescent="0.25">
      <c r="A36" s="13" t="s">
        <v>21</v>
      </c>
      <c r="B36" s="9">
        <v>107</v>
      </c>
      <c r="C36" s="9" t="s">
        <v>117</v>
      </c>
      <c r="D36" s="9" t="s">
        <v>44</v>
      </c>
      <c r="E36" s="9">
        <v>38.8</v>
      </c>
      <c r="F36" s="14">
        <f t="shared" si="0"/>
        <v>417.6397241683372</v>
      </c>
      <c r="G36" s="13" t="s">
        <v>88</v>
      </c>
      <c r="L36" s="9" t="s">
        <v>89</v>
      </c>
      <c r="M36" s="9" t="s">
        <v>89</v>
      </c>
      <c r="O36" s="9" t="s">
        <v>89</v>
      </c>
    </row>
    <row r="37" spans="1:15" x14ac:dyDescent="0.25">
      <c r="A37" s="13" t="s">
        <v>21</v>
      </c>
      <c r="B37" s="9">
        <v>108</v>
      </c>
      <c r="C37" s="9" t="s">
        <v>117</v>
      </c>
      <c r="D37" s="9" t="s">
        <v>49</v>
      </c>
      <c r="E37" s="9">
        <v>45.1</v>
      </c>
      <c r="F37" s="14">
        <f t="shared" si="0"/>
        <v>485.4523597936085</v>
      </c>
      <c r="G37" s="13" t="s">
        <v>88</v>
      </c>
      <c r="L37" s="9" t="s">
        <v>89</v>
      </c>
      <c r="M37" s="9" t="s">
        <v>89</v>
      </c>
      <c r="O37" s="9" t="s">
        <v>89</v>
      </c>
    </row>
    <row r="38" spans="1:15" x14ac:dyDescent="0.25">
      <c r="A38" s="13" t="s">
        <v>21</v>
      </c>
      <c r="B38" s="9">
        <v>109</v>
      </c>
      <c r="C38" s="9" t="s">
        <v>117</v>
      </c>
      <c r="D38" s="9" t="s">
        <v>49</v>
      </c>
      <c r="E38" s="9">
        <v>49.9</v>
      </c>
      <c r="F38" s="14">
        <f t="shared" si="0"/>
        <v>537.1191297938151</v>
      </c>
      <c r="G38" s="13" t="s">
        <v>88</v>
      </c>
      <c r="L38" s="9" t="s">
        <v>89</v>
      </c>
      <c r="M38" s="9" t="s">
        <v>89</v>
      </c>
      <c r="O38" s="9" t="s">
        <v>89</v>
      </c>
    </row>
    <row r="39" spans="1:15" x14ac:dyDescent="0.25">
      <c r="A39" s="13" t="s">
        <v>21</v>
      </c>
      <c r="B39" s="9">
        <v>110</v>
      </c>
      <c r="C39" s="9" t="s">
        <v>117</v>
      </c>
      <c r="D39" s="9" t="s">
        <v>44</v>
      </c>
      <c r="E39" s="9">
        <v>48</v>
      </c>
      <c r="F39" s="14">
        <f t="shared" si="0"/>
        <v>516.6677000020667</v>
      </c>
      <c r="G39" s="13" t="s">
        <v>88</v>
      </c>
      <c r="L39" s="9" t="s">
        <v>89</v>
      </c>
      <c r="M39" s="9" t="s">
        <v>89</v>
      </c>
      <c r="O39" s="9" t="s">
        <v>89</v>
      </c>
    </row>
    <row r="40" spans="1:15" x14ac:dyDescent="0.25">
      <c r="A40" s="13" t="s">
        <v>21</v>
      </c>
      <c r="B40" s="9">
        <v>111</v>
      </c>
      <c r="C40" s="9" t="s">
        <v>117</v>
      </c>
      <c r="D40" s="9" t="s">
        <v>44</v>
      </c>
      <c r="E40" s="9">
        <v>41.7</v>
      </c>
      <c r="F40" s="14">
        <f t="shared" si="0"/>
        <v>448.8550643767955</v>
      </c>
      <c r="G40" s="13" t="s">
        <v>88</v>
      </c>
      <c r="L40" s="9" t="s">
        <v>89</v>
      </c>
      <c r="M40" s="9" t="s">
        <v>89</v>
      </c>
      <c r="O40" s="9" t="s">
        <v>89</v>
      </c>
    </row>
    <row r="41" spans="1:15" x14ac:dyDescent="0.25">
      <c r="A41" s="13" t="s">
        <v>21</v>
      </c>
      <c r="B41" s="9">
        <v>112</v>
      </c>
      <c r="C41" s="9" t="s">
        <v>117</v>
      </c>
      <c r="D41" s="9" t="s">
        <v>44</v>
      </c>
      <c r="E41" s="9">
        <v>40.6</v>
      </c>
      <c r="F41" s="14">
        <f t="shared" si="0"/>
        <v>437.0147629184147</v>
      </c>
      <c r="G41" s="13" t="s">
        <v>88</v>
      </c>
      <c r="L41" s="9" t="s">
        <v>89</v>
      </c>
      <c r="M41" s="9" t="s">
        <v>89</v>
      </c>
      <c r="O41" s="9" t="s">
        <v>89</v>
      </c>
    </row>
    <row r="42" spans="1:15" x14ac:dyDescent="0.25">
      <c r="A42" s="13" t="s">
        <v>21</v>
      </c>
      <c r="B42" s="9">
        <v>113</v>
      </c>
      <c r="C42" s="9" t="s">
        <v>117</v>
      </c>
      <c r="D42" s="9" t="s">
        <v>44</v>
      </c>
      <c r="E42" s="9">
        <v>40</v>
      </c>
      <c r="F42" s="14">
        <f t="shared" si="0"/>
        <v>430.5564166683889</v>
      </c>
      <c r="G42" s="13" t="s">
        <v>88</v>
      </c>
      <c r="L42" s="9" t="s">
        <v>89</v>
      </c>
      <c r="M42" s="9" t="s">
        <v>89</v>
      </c>
      <c r="O42" s="9" t="s">
        <v>89</v>
      </c>
    </row>
    <row r="43" spans="1:15" x14ac:dyDescent="0.25">
      <c r="A43" s="13" t="s">
        <v>21</v>
      </c>
      <c r="B43" s="9">
        <v>114</v>
      </c>
      <c r="C43" s="9" t="s">
        <v>117</v>
      </c>
      <c r="D43" s="9" t="s">
        <v>44</v>
      </c>
      <c r="E43" s="9">
        <v>42.5</v>
      </c>
      <c r="F43" s="14">
        <f t="shared" si="0"/>
        <v>457.46619271016317</v>
      </c>
      <c r="G43" s="13" t="s">
        <v>88</v>
      </c>
      <c r="L43" s="9" t="s">
        <v>89</v>
      </c>
      <c r="M43" s="9" t="s">
        <v>89</v>
      </c>
      <c r="O43" s="9" t="s">
        <v>89</v>
      </c>
    </row>
    <row r="44" spans="1:15" x14ac:dyDescent="0.25">
      <c r="A44" s="13" t="s">
        <v>21</v>
      </c>
      <c r="B44" s="9">
        <v>115</v>
      </c>
      <c r="C44" s="9" t="s">
        <v>117</v>
      </c>
      <c r="D44" s="9" t="s">
        <v>44</v>
      </c>
      <c r="E44" s="9">
        <v>42.2</v>
      </c>
      <c r="F44" s="14">
        <f t="shared" si="0"/>
        <v>454.23701958515034</v>
      </c>
      <c r="G44" s="13" t="s">
        <v>88</v>
      </c>
      <c r="L44" s="9" t="s">
        <v>89</v>
      </c>
      <c r="M44" s="9" t="s">
        <v>89</v>
      </c>
      <c r="O44" s="9" t="s">
        <v>89</v>
      </c>
    </row>
    <row r="45" spans="1:15" x14ac:dyDescent="0.25">
      <c r="A45" s="13" t="s">
        <v>21</v>
      </c>
      <c r="B45" s="9">
        <v>201</v>
      </c>
      <c r="C45" s="9" t="s">
        <v>118</v>
      </c>
      <c r="D45" s="9" t="s">
        <v>44</v>
      </c>
      <c r="E45" s="9">
        <v>39.8</v>
      </c>
      <c r="F45" s="14">
        <f t="shared" si="0"/>
        <v>428.4036345850469</v>
      </c>
      <c r="G45" s="13" t="s">
        <v>88</v>
      </c>
      <c r="L45" s="9" t="s">
        <v>89</v>
      </c>
      <c r="M45" s="9" t="s">
        <v>89</v>
      </c>
      <c r="O45" s="9" t="s">
        <v>89</v>
      </c>
    </row>
    <row r="46" spans="1:15" x14ac:dyDescent="0.25">
      <c r="A46" s="13" t="s">
        <v>21</v>
      </c>
      <c r="B46" s="9">
        <v>202</v>
      </c>
      <c r="C46" s="9" t="s">
        <v>118</v>
      </c>
      <c r="D46" s="9" t="s">
        <v>44</v>
      </c>
      <c r="E46" s="9">
        <v>38.5</v>
      </c>
      <c r="F46" s="14">
        <f t="shared" si="0"/>
        <v>414.4105510433243</v>
      </c>
      <c r="G46" s="13" t="s">
        <v>88</v>
      </c>
      <c r="L46" s="9" t="s">
        <v>89</v>
      </c>
      <c r="M46" s="9" t="s">
        <v>89</v>
      </c>
      <c r="O46" s="9" t="s">
        <v>89</v>
      </c>
    </row>
    <row r="47" spans="1:15" x14ac:dyDescent="0.25">
      <c r="A47" s="13" t="s">
        <v>21</v>
      </c>
      <c r="B47" s="9">
        <v>203</v>
      </c>
      <c r="C47" s="9" t="s">
        <v>118</v>
      </c>
      <c r="D47" s="9" t="s">
        <v>44</v>
      </c>
      <c r="E47" s="9">
        <v>44.1</v>
      </c>
      <c r="F47" s="14">
        <f t="shared" si="0"/>
        <v>474.68844937689875</v>
      </c>
      <c r="G47" s="13" t="s">
        <v>88</v>
      </c>
      <c r="L47" s="9" t="s">
        <v>89</v>
      </c>
      <c r="M47" s="9" t="s">
        <v>89</v>
      </c>
      <c r="O47" s="9" t="s">
        <v>89</v>
      </c>
    </row>
    <row r="48" spans="1:15" x14ac:dyDescent="0.25">
      <c r="A48" s="13" t="s">
        <v>21</v>
      </c>
      <c r="B48" s="9">
        <v>204</v>
      </c>
      <c r="C48" s="9" t="s">
        <v>118</v>
      </c>
      <c r="D48" s="9" t="s">
        <v>49</v>
      </c>
      <c r="E48" s="9">
        <v>54.2</v>
      </c>
      <c r="F48" s="14">
        <f t="shared" si="0"/>
        <v>583.403944585667</v>
      </c>
      <c r="G48" s="13" t="s">
        <v>88</v>
      </c>
      <c r="L48" s="9" t="s">
        <v>89</v>
      </c>
      <c r="M48" s="9" t="s">
        <v>89</v>
      </c>
      <c r="O48" s="9" t="s">
        <v>45</v>
      </c>
    </row>
    <row r="49" spans="1:15" x14ac:dyDescent="0.25">
      <c r="A49" s="13" t="s">
        <v>21</v>
      </c>
      <c r="B49" s="9">
        <v>205</v>
      </c>
      <c r="C49" s="9" t="s">
        <v>118</v>
      </c>
      <c r="D49" s="9" t="s">
        <v>44</v>
      </c>
      <c r="E49" s="9">
        <v>42.9</v>
      </c>
      <c r="F49" s="14">
        <f t="shared" si="0"/>
        <v>461.77175687684706</v>
      </c>
      <c r="G49" s="13" t="s">
        <v>88</v>
      </c>
      <c r="L49" s="9" t="s">
        <v>89</v>
      </c>
      <c r="M49" s="9" t="s">
        <v>89</v>
      </c>
      <c r="O49" s="9" t="s">
        <v>89</v>
      </c>
    </row>
    <row r="50" spans="1:15" x14ac:dyDescent="0.25">
      <c r="A50" s="13" t="s">
        <v>21</v>
      </c>
      <c r="B50" s="9">
        <v>206</v>
      </c>
      <c r="C50" s="9" t="s">
        <v>118</v>
      </c>
      <c r="D50" s="9" t="s">
        <v>44</v>
      </c>
      <c r="E50" s="9">
        <v>38.4</v>
      </c>
      <c r="F50" s="14">
        <f t="shared" si="0"/>
        <v>413.33416000165334</v>
      </c>
      <c r="G50" s="13" t="s">
        <v>88</v>
      </c>
      <c r="L50" s="9" t="s">
        <v>89</v>
      </c>
      <c r="M50" s="9" t="s">
        <v>89</v>
      </c>
      <c r="O50" s="9" t="s">
        <v>89</v>
      </c>
    </row>
    <row r="51" spans="1:15" x14ac:dyDescent="0.25">
      <c r="A51" s="13" t="s">
        <v>21</v>
      </c>
      <c r="B51" s="9">
        <v>207</v>
      </c>
      <c r="C51" s="9" t="s">
        <v>118</v>
      </c>
      <c r="D51" s="9" t="s">
        <v>44</v>
      </c>
      <c r="E51" s="9">
        <v>38.2</v>
      </c>
      <c r="F51" s="14">
        <f t="shared" si="0"/>
        <v>411.18137791831145</v>
      </c>
      <c r="G51" s="13" t="s">
        <v>88</v>
      </c>
      <c r="L51" s="9" t="s">
        <v>89</v>
      </c>
      <c r="M51" s="9" t="s">
        <v>89</v>
      </c>
      <c r="O51" s="9" t="s">
        <v>89</v>
      </c>
    </row>
    <row r="52" spans="1:15" x14ac:dyDescent="0.25">
      <c r="A52" s="13" t="s">
        <v>21</v>
      </c>
      <c r="B52" s="9">
        <v>208</v>
      </c>
      <c r="C52" s="9" t="s">
        <v>118</v>
      </c>
      <c r="D52" s="9" t="s">
        <v>44</v>
      </c>
      <c r="E52" s="9">
        <v>37.3</v>
      </c>
      <c r="F52" s="14">
        <f t="shared" si="0"/>
        <v>401.4938585432726</v>
      </c>
      <c r="G52" s="13" t="s">
        <v>88</v>
      </c>
      <c r="L52" s="9" t="s">
        <v>89</v>
      </c>
      <c r="M52" s="9" t="s">
        <v>89</v>
      </c>
      <c r="O52" s="9" t="s">
        <v>89</v>
      </c>
    </row>
    <row r="53" spans="1:15" x14ac:dyDescent="0.25">
      <c r="A53" s="13" t="s">
        <v>21</v>
      </c>
      <c r="B53" s="9">
        <v>209</v>
      </c>
      <c r="C53" s="9" t="s">
        <v>118</v>
      </c>
      <c r="D53" s="9" t="s">
        <v>49</v>
      </c>
      <c r="E53" s="9">
        <v>50.9</v>
      </c>
      <c r="F53" s="14">
        <f t="shared" si="0"/>
        <v>547.8830402105248</v>
      </c>
      <c r="G53" s="13" t="s">
        <v>88</v>
      </c>
      <c r="L53" s="9" t="s">
        <v>89</v>
      </c>
      <c r="M53" s="9" t="s">
        <v>89</v>
      </c>
      <c r="O53" s="9" t="s">
        <v>89</v>
      </c>
    </row>
    <row r="54" spans="1:15" x14ac:dyDescent="0.25">
      <c r="A54" s="13" t="s">
        <v>21</v>
      </c>
      <c r="B54" s="9">
        <v>210</v>
      </c>
      <c r="C54" s="9" t="s">
        <v>118</v>
      </c>
      <c r="D54" s="9" t="s">
        <v>44</v>
      </c>
      <c r="E54" s="9">
        <v>42</v>
      </c>
      <c r="F54" s="14">
        <f t="shared" si="0"/>
        <v>452.08423750180833</v>
      </c>
      <c r="G54" s="13" t="s">
        <v>88</v>
      </c>
      <c r="L54" s="9" t="s">
        <v>89</v>
      </c>
      <c r="M54" s="9" t="s">
        <v>89</v>
      </c>
      <c r="O54" s="9" t="s">
        <v>89</v>
      </c>
    </row>
    <row r="55" spans="1:15" x14ac:dyDescent="0.25">
      <c r="A55" s="13" t="s">
        <v>21</v>
      </c>
      <c r="B55" s="9">
        <v>211</v>
      </c>
      <c r="C55" s="9" t="s">
        <v>118</v>
      </c>
      <c r="D55" s="9" t="s">
        <v>44</v>
      </c>
      <c r="E55" s="9">
        <v>42</v>
      </c>
      <c r="F55" s="14">
        <f t="shared" si="0"/>
        <v>452.08423750180833</v>
      </c>
      <c r="G55" s="13" t="s">
        <v>88</v>
      </c>
      <c r="L55" s="9" t="s">
        <v>89</v>
      </c>
      <c r="M55" s="9" t="s">
        <v>89</v>
      </c>
      <c r="O55" s="9" t="s">
        <v>89</v>
      </c>
    </row>
    <row r="56" spans="1:15" x14ac:dyDescent="0.25">
      <c r="A56" s="13" t="s">
        <v>21</v>
      </c>
      <c r="B56" s="9">
        <v>212</v>
      </c>
      <c r="C56" s="9" t="s">
        <v>118</v>
      </c>
      <c r="D56" s="9" t="s">
        <v>49</v>
      </c>
      <c r="E56" s="9">
        <v>50.7</v>
      </c>
      <c r="F56" s="14">
        <f t="shared" si="0"/>
        <v>545.730258127183</v>
      </c>
      <c r="G56" s="13" t="s">
        <v>88</v>
      </c>
      <c r="L56" s="9" t="s">
        <v>89</v>
      </c>
      <c r="M56" s="9" t="s">
        <v>89</v>
      </c>
      <c r="O56" s="9" t="s">
        <v>89</v>
      </c>
    </row>
    <row r="57" spans="1:15" x14ac:dyDescent="0.25">
      <c r="A57" s="13" t="s">
        <v>21</v>
      </c>
      <c r="B57" s="9">
        <v>213</v>
      </c>
      <c r="C57" s="9" t="s">
        <v>118</v>
      </c>
      <c r="D57" s="9" t="s">
        <v>44</v>
      </c>
      <c r="E57" s="9">
        <v>42.2</v>
      </c>
      <c r="F57" s="14">
        <f t="shared" si="0"/>
        <v>454.23701958515034</v>
      </c>
      <c r="G57" s="13" t="s">
        <v>88</v>
      </c>
      <c r="L57" s="9" t="s">
        <v>89</v>
      </c>
      <c r="M57" s="9" t="s">
        <v>89</v>
      </c>
      <c r="O57" s="9" t="s">
        <v>89</v>
      </c>
    </row>
    <row r="58" spans="1:15" x14ac:dyDescent="0.25">
      <c r="A58" s="13" t="s">
        <v>21</v>
      </c>
      <c r="B58" s="9">
        <v>214</v>
      </c>
      <c r="C58" s="9" t="s">
        <v>118</v>
      </c>
      <c r="D58" s="9" t="s">
        <v>44</v>
      </c>
      <c r="E58" s="9">
        <v>43.8</v>
      </c>
      <c r="F58" s="14">
        <f t="shared" si="0"/>
        <v>471.4592762518858</v>
      </c>
      <c r="G58" s="13" t="s">
        <v>88</v>
      </c>
      <c r="L58" s="9" t="s">
        <v>89</v>
      </c>
      <c r="M58" s="9" t="s">
        <v>89</v>
      </c>
      <c r="O58" s="9" t="s">
        <v>89</v>
      </c>
    </row>
    <row r="59" spans="1:15" x14ac:dyDescent="0.25">
      <c r="A59" s="13" t="s">
        <v>21</v>
      </c>
      <c r="B59" s="9">
        <v>215</v>
      </c>
      <c r="C59" s="9" t="s">
        <v>118</v>
      </c>
      <c r="D59" s="9" t="s">
        <v>44</v>
      </c>
      <c r="E59" s="9">
        <v>43.3</v>
      </c>
      <c r="F59" s="14">
        <f t="shared" si="0"/>
        <v>466.0773210435309</v>
      </c>
      <c r="G59" s="13" t="s">
        <v>88</v>
      </c>
      <c r="L59" s="9" t="s">
        <v>89</v>
      </c>
      <c r="M59" s="9" t="s">
        <v>89</v>
      </c>
      <c r="O59" s="9" t="s">
        <v>89</v>
      </c>
    </row>
    <row r="60" spans="1:15" x14ac:dyDescent="0.25">
      <c r="A60" s="13" t="s">
        <v>21</v>
      </c>
      <c r="B60" s="9">
        <v>301</v>
      </c>
      <c r="C60" s="9" t="s">
        <v>119</v>
      </c>
      <c r="D60" s="9" t="s">
        <v>44</v>
      </c>
      <c r="E60" s="9">
        <v>41.9</v>
      </c>
      <c r="F60" s="14">
        <f t="shared" si="0"/>
        <v>451.0078464601374</v>
      </c>
      <c r="G60" s="13" t="s">
        <v>88</v>
      </c>
      <c r="L60" s="9" t="s">
        <v>89</v>
      </c>
      <c r="M60" s="9" t="s">
        <v>89</v>
      </c>
      <c r="O60" s="9" t="s">
        <v>89</v>
      </c>
    </row>
    <row r="61" spans="1:15" x14ac:dyDescent="0.25">
      <c r="A61" s="13" t="s">
        <v>21</v>
      </c>
      <c r="B61" s="9">
        <v>302</v>
      </c>
      <c r="C61" s="9" t="s">
        <v>119</v>
      </c>
      <c r="D61" s="9" t="s">
        <v>49</v>
      </c>
      <c r="E61" s="9">
        <v>52.6</v>
      </c>
      <c r="F61" s="14">
        <f t="shared" si="0"/>
        <v>566.1816879189314</v>
      </c>
      <c r="G61" s="13" t="s">
        <v>88</v>
      </c>
      <c r="L61" s="9" t="s">
        <v>89</v>
      </c>
      <c r="M61" s="9" t="s">
        <v>89</v>
      </c>
      <c r="O61" s="9" t="s">
        <v>45</v>
      </c>
    </row>
    <row r="62" spans="1:15" x14ac:dyDescent="0.25">
      <c r="A62" s="13" t="s">
        <v>21</v>
      </c>
      <c r="B62" s="9">
        <v>303</v>
      </c>
      <c r="C62" s="9" t="s">
        <v>119</v>
      </c>
      <c r="D62" s="9" t="s">
        <v>49</v>
      </c>
      <c r="E62" s="9">
        <v>52.4</v>
      </c>
      <c r="F62" s="14">
        <f t="shared" si="0"/>
        <v>564.0289058355894</v>
      </c>
      <c r="G62" s="13" t="s">
        <v>88</v>
      </c>
      <c r="L62" s="9" t="s">
        <v>89</v>
      </c>
      <c r="M62" s="9" t="s">
        <v>89</v>
      </c>
      <c r="O62" s="9" t="s">
        <v>45</v>
      </c>
    </row>
    <row r="63" spans="1:15" x14ac:dyDescent="0.25">
      <c r="A63" s="13" t="s">
        <v>21</v>
      </c>
      <c r="B63" s="9">
        <v>304</v>
      </c>
      <c r="C63" s="9" t="s">
        <v>119</v>
      </c>
      <c r="D63" s="9" t="s">
        <v>44</v>
      </c>
      <c r="E63" s="9">
        <v>41</v>
      </c>
      <c r="F63" s="14">
        <f t="shared" si="0"/>
        <v>441.3203270850986</v>
      </c>
      <c r="G63" s="13" t="s">
        <v>88</v>
      </c>
      <c r="L63" s="9" t="s">
        <v>89</v>
      </c>
      <c r="M63" s="9" t="s">
        <v>89</v>
      </c>
      <c r="O63" s="9" t="s">
        <v>89</v>
      </c>
    </row>
    <row r="64" spans="1:15" x14ac:dyDescent="0.25">
      <c r="A64" s="13" t="s">
        <v>21</v>
      </c>
      <c r="B64" s="9">
        <v>305</v>
      </c>
      <c r="C64" s="9" t="s">
        <v>119</v>
      </c>
      <c r="D64" s="9" t="s">
        <v>44</v>
      </c>
      <c r="E64" s="9">
        <v>37.5</v>
      </c>
      <c r="F64" s="14">
        <f t="shared" si="0"/>
        <v>403.6466406266146</v>
      </c>
      <c r="G64" s="13" t="s">
        <v>88</v>
      </c>
      <c r="L64" s="9" t="s">
        <v>89</v>
      </c>
      <c r="M64" s="9" t="s">
        <v>89</v>
      </c>
      <c r="O64" s="9" t="s">
        <v>89</v>
      </c>
    </row>
    <row r="65" spans="1:15" x14ac:dyDescent="0.25">
      <c r="A65" s="13" t="s">
        <v>21</v>
      </c>
      <c r="B65" s="9">
        <v>306</v>
      </c>
      <c r="C65" s="9" t="s">
        <v>119</v>
      </c>
      <c r="D65" s="9" t="s">
        <v>44</v>
      </c>
      <c r="E65" s="9">
        <v>39.3</v>
      </c>
      <c r="F65" s="14">
        <f t="shared" si="0"/>
        <v>423.021679376692</v>
      </c>
      <c r="G65" s="13" t="s">
        <v>88</v>
      </c>
      <c r="L65" s="9" t="s">
        <v>89</v>
      </c>
      <c r="M65" s="9" t="s">
        <v>89</v>
      </c>
      <c r="O65" s="9" t="s">
        <v>89</v>
      </c>
    </row>
    <row r="66" spans="1:15" x14ac:dyDescent="0.25">
      <c r="A66" s="13" t="s">
        <v>21</v>
      </c>
      <c r="B66" s="9">
        <v>307</v>
      </c>
      <c r="C66" s="9" t="s">
        <v>119</v>
      </c>
      <c r="D66" s="9" t="s">
        <v>49</v>
      </c>
      <c r="E66" s="9">
        <v>55</v>
      </c>
      <c r="F66" s="14">
        <f t="shared" si="0"/>
        <v>592.0150729190348</v>
      </c>
      <c r="G66" s="13" t="s">
        <v>88</v>
      </c>
      <c r="L66" s="9" t="s">
        <v>89</v>
      </c>
      <c r="M66" s="9" t="s">
        <v>89</v>
      </c>
      <c r="O66" s="9" t="s">
        <v>89</v>
      </c>
    </row>
    <row r="67" spans="1:15" x14ac:dyDescent="0.25">
      <c r="A67" s="15" t="s">
        <v>28</v>
      </c>
      <c r="B67" s="9">
        <v>1</v>
      </c>
      <c r="C67" s="9" t="s">
        <v>102</v>
      </c>
      <c r="D67" s="9" t="s">
        <v>44</v>
      </c>
      <c r="E67" s="9">
        <v>47</v>
      </c>
      <c r="F67" s="14">
        <f t="shared" si="0"/>
        <v>505.90378958535695</v>
      </c>
      <c r="G67" s="15" t="s">
        <v>88</v>
      </c>
      <c r="I67" s="16">
        <v>45874</v>
      </c>
      <c r="J67" s="16">
        <v>45875</v>
      </c>
      <c r="K67" s="9">
        <v>39</v>
      </c>
      <c r="L67" s="9" t="s">
        <v>89</v>
      </c>
      <c r="M67" s="9" t="s">
        <v>45</v>
      </c>
      <c r="N67" s="9" t="s">
        <v>90</v>
      </c>
      <c r="O67" s="9" t="s">
        <v>89</v>
      </c>
    </row>
    <row r="68" spans="1:15" x14ac:dyDescent="0.25">
      <c r="A68" s="15" t="s">
        <v>28</v>
      </c>
      <c r="B68" s="9">
        <v>2</v>
      </c>
      <c r="C68" s="9" t="s">
        <v>102</v>
      </c>
      <c r="D68" s="9" t="s">
        <v>44</v>
      </c>
      <c r="E68" s="9">
        <v>48</v>
      </c>
      <c r="F68" s="14">
        <f t="shared" si="0"/>
        <v>516.6677000020667</v>
      </c>
      <c r="G68" s="15" t="s">
        <v>88</v>
      </c>
      <c r="I68" s="16">
        <v>45826</v>
      </c>
      <c r="J68" s="16">
        <v>45828</v>
      </c>
      <c r="L68" s="9" t="s">
        <v>89</v>
      </c>
      <c r="M68" s="9" t="s">
        <v>45</v>
      </c>
      <c r="N68" s="9" t="s">
        <v>90</v>
      </c>
      <c r="O68" s="9" t="s">
        <v>89</v>
      </c>
    </row>
    <row r="69" spans="1:15" x14ac:dyDescent="0.25">
      <c r="A69" s="15" t="s">
        <v>28</v>
      </c>
      <c r="B69" s="9">
        <v>3</v>
      </c>
      <c r="C69" s="9" t="s">
        <v>102</v>
      </c>
      <c r="D69" s="9" t="s">
        <v>44</v>
      </c>
      <c r="E69" s="9">
        <v>40</v>
      </c>
      <c r="F69" s="14">
        <f t="shared" ref="F69:F132" si="1">CONVERT(E69,"m^2","ft^2")</f>
        <v>430.5564166683889</v>
      </c>
      <c r="G69" s="15" t="s">
        <v>88</v>
      </c>
      <c r="I69" s="16">
        <v>45916</v>
      </c>
      <c r="J69" s="16"/>
      <c r="L69" s="9" t="s">
        <v>89</v>
      </c>
      <c r="M69" s="9" t="s">
        <v>45</v>
      </c>
      <c r="N69" s="9" t="s">
        <v>90</v>
      </c>
      <c r="O69" s="9" t="s">
        <v>89</v>
      </c>
    </row>
    <row r="70" spans="1:15" x14ac:dyDescent="0.25">
      <c r="A70" s="15" t="s">
        <v>28</v>
      </c>
      <c r="B70" s="9">
        <v>4</v>
      </c>
      <c r="C70" s="9" t="s">
        <v>102</v>
      </c>
      <c r="D70" s="9" t="s">
        <v>44</v>
      </c>
      <c r="E70" s="9">
        <v>40</v>
      </c>
      <c r="F70" s="14">
        <f t="shared" si="1"/>
        <v>430.5564166683889</v>
      </c>
      <c r="G70" s="15" t="s">
        <v>88</v>
      </c>
      <c r="I70" s="16">
        <v>45805</v>
      </c>
      <c r="J70" s="16">
        <v>45807</v>
      </c>
      <c r="L70" s="9" t="s">
        <v>89</v>
      </c>
      <c r="M70" s="9" t="s">
        <v>45</v>
      </c>
      <c r="N70" s="9" t="s">
        <v>90</v>
      </c>
      <c r="O70" s="9" t="s">
        <v>89</v>
      </c>
    </row>
    <row r="71" spans="1:15" x14ac:dyDescent="0.25">
      <c r="A71" s="15" t="s">
        <v>28</v>
      </c>
      <c r="B71" s="9">
        <v>5</v>
      </c>
      <c r="C71" s="9" t="s">
        <v>102</v>
      </c>
      <c r="D71" s="9" t="s">
        <v>44</v>
      </c>
      <c r="E71" s="9">
        <v>43</v>
      </c>
      <c r="F71" s="14">
        <f t="shared" si="1"/>
        <v>462.84814791851807</v>
      </c>
      <c r="G71" s="15" t="s">
        <v>88</v>
      </c>
      <c r="I71" s="16">
        <v>46072</v>
      </c>
      <c r="J71" s="16">
        <v>46087</v>
      </c>
      <c r="L71" s="9" t="s">
        <v>89</v>
      </c>
      <c r="M71" s="9" t="s">
        <v>45</v>
      </c>
      <c r="N71" s="9" t="s">
        <v>90</v>
      </c>
      <c r="O71" s="9" t="s">
        <v>89</v>
      </c>
    </row>
    <row r="72" spans="1:15" x14ac:dyDescent="0.25">
      <c r="A72" s="15" t="s">
        <v>28</v>
      </c>
      <c r="B72" s="9">
        <v>6</v>
      </c>
      <c r="C72" s="9" t="s">
        <v>102</v>
      </c>
      <c r="D72" s="9" t="s">
        <v>44</v>
      </c>
      <c r="E72" s="9">
        <v>42</v>
      </c>
      <c r="F72" s="14">
        <f t="shared" si="1"/>
        <v>452.08423750180833</v>
      </c>
      <c r="G72" s="15" t="s">
        <v>88</v>
      </c>
      <c r="I72" s="16">
        <v>45888</v>
      </c>
      <c r="J72" s="16">
        <v>45903</v>
      </c>
      <c r="L72" s="9" t="s">
        <v>89</v>
      </c>
      <c r="M72" s="9" t="s">
        <v>45</v>
      </c>
      <c r="N72" s="9" t="s">
        <v>90</v>
      </c>
      <c r="O72" s="9" t="s">
        <v>89</v>
      </c>
    </row>
    <row r="73" spans="1:15" x14ac:dyDescent="0.25">
      <c r="A73" s="15" t="s">
        <v>28</v>
      </c>
      <c r="B73" s="9">
        <v>7</v>
      </c>
      <c r="C73" s="9" t="s">
        <v>102</v>
      </c>
      <c r="D73" s="9" t="s">
        <v>44</v>
      </c>
      <c r="E73" s="9">
        <v>43</v>
      </c>
      <c r="F73" s="14">
        <f t="shared" si="1"/>
        <v>462.84814791851807</v>
      </c>
      <c r="G73" s="15" t="s">
        <v>88</v>
      </c>
      <c r="I73" s="16">
        <v>45804</v>
      </c>
      <c r="J73" s="16">
        <v>45805</v>
      </c>
      <c r="K73" s="9">
        <v>46</v>
      </c>
      <c r="L73" s="9" t="s">
        <v>89</v>
      </c>
      <c r="M73" s="9" t="s">
        <v>45</v>
      </c>
      <c r="N73" s="9" t="s">
        <v>90</v>
      </c>
      <c r="O73" s="9" t="s">
        <v>89</v>
      </c>
    </row>
    <row r="74" spans="1:15" x14ac:dyDescent="0.25">
      <c r="A74" s="15" t="s">
        <v>28</v>
      </c>
      <c r="B74" s="9">
        <v>8</v>
      </c>
      <c r="C74" s="9" t="s">
        <v>102</v>
      </c>
      <c r="D74" s="9" t="s">
        <v>44</v>
      </c>
      <c r="E74" s="9">
        <v>42</v>
      </c>
      <c r="F74" s="14">
        <f t="shared" si="1"/>
        <v>452.08423750180833</v>
      </c>
      <c r="G74" s="15" t="s">
        <v>88</v>
      </c>
      <c r="I74" s="16">
        <v>45805</v>
      </c>
      <c r="J74" s="16">
        <v>45806</v>
      </c>
      <c r="L74" s="9" t="s">
        <v>89</v>
      </c>
      <c r="M74" s="9" t="s">
        <v>45</v>
      </c>
      <c r="N74" s="9" t="s">
        <v>90</v>
      </c>
      <c r="O74" s="9" t="s">
        <v>89</v>
      </c>
    </row>
    <row r="75" spans="1:15" x14ac:dyDescent="0.25">
      <c r="A75" s="15" t="s">
        <v>28</v>
      </c>
      <c r="B75" s="9">
        <v>9</v>
      </c>
      <c r="C75" s="9" t="s">
        <v>102</v>
      </c>
      <c r="D75" s="9" t="s">
        <v>44</v>
      </c>
      <c r="E75" s="9">
        <v>43</v>
      </c>
      <c r="F75" s="14">
        <f t="shared" si="1"/>
        <v>462.84814791851807</v>
      </c>
      <c r="G75" s="15" t="s">
        <v>88</v>
      </c>
      <c r="I75" s="16">
        <v>45805</v>
      </c>
      <c r="J75" s="16">
        <v>45812</v>
      </c>
      <c r="K75" s="9">
        <v>45</v>
      </c>
      <c r="L75" s="9" t="s">
        <v>89</v>
      </c>
      <c r="M75" s="9" t="s">
        <v>45</v>
      </c>
      <c r="N75" s="9" t="s">
        <v>90</v>
      </c>
      <c r="O75" s="9" t="s">
        <v>89</v>
      </c>
    </row>
    <row r="76" spans="1:15" x14ac:dyDescent="0.25">
      <c r="A76" s="15" t="s">
        <v>28</v>
      </c>
      <c r="B76" s="9">
        <v>10</v>
      </c>
      <c r="C76" s="9" t="s">
        <v>102</v>
      </c>
      <c r="D76" s="9" t="s">
        <v>44</v>
      </c>
      <c r="E76" s="9">
        <v>40</v>
      </c>
      <c r="F76" s="14">
        <f t="shared" si="1"/>
        <v>430.5564166683889</v>
      </c>
      <c r="G76" s="15" t="s">
        <v>88</v>
      </c>
      <c r="I76" s="16">
        <v>45849</v>
      </c>
      <c r="J76" s="16">
        <v>45856</v>
      </c>
      <c r="L76" s="9" t="s">
        <v>89</v>
      </c>
      <c r="M76" s="9" t="s">
        <v>45</v>
      </c>
      <c r="N76" s="9" t="s">
        <v>90</v>
      </c>
      <c r="O76" s="9" t="s">
        <v>89</v>
      </c>
    </row>
    <row r="77" spans="1:15" x14ac:dyDescent="0.25">
      <c r="A77" s="15" t="s">
        <v>28</v>
      </c>
      <c r="B77" s="9">
        <v>11</v>
      </c>
      <c r="C77" s="9" t="s">
        <v>117</v>
      </c>
      <c r="D77" s="9" t="s">
        <v>52</v>
      </c>
      <c r="E77" s="9">
        <v>80</v>
      </c>
      <c r="F77" s="14">
        <f t="shared" si="1"/>
        <v>861.1128333367778</v>
      </c>
      <c r="G77" s="15" t="s">
        <v>88</v>
      </c>
      <c r="I77" s="16"/>
      <c r="J77" s="16"/>
      <c r="L77" s="9" t="s">
        <v>45</v>
      </c>
      <c r="M77" s="9" t="s">
        <v>89</v>
      </c>
      <c r="O77" s="9" t="s">
        <v>89</v>
      </c>
    </row>
    <row r="78" spans="1:15" x14ac:dyDescent="0.25">
      <c r="A78" s="15" t="s">
        <v>28</v>
      </c>
      <c r="B78" s="9">
        <v>12</v>
      </c>
      <c r="C78" s="9" t="s">
        <v>117</v>
      </c>
      <c r="D78" s="9" t="s">
        <v>52</v>
      </c>
      <c r="E78" s="9">
        <v>63</v>
      </c>
      <c r="F78" s="14">
        <f t="shared" si="1"/>
        <v>678.1263562527125</v>
      </c>
      <c r="G78" s="15" t="s">
        <v>88</v>
      </c>
      <c r="I78" s="16">
        <v>46009</v>
      </c>
      <c r="J78" s="16">
        <v>46378</v>
      </c>
      <c r="K78" s="9">
        <v>41</v>
      </c>
      <c r="L78" s="9" t="s">
        <v>45</v>
      </c>
      <c r="M78" s="9" t="s">
        <v>89</v>
      </c>
      <c r="O78" s="9" t="s">
        <v>89</v>
      </c>
    </row>
    <row r="79" spans="1:15" x14ac:dyDescent="0.25">
      <c r="A79" s="15" t="s">
        <v>28</v>
      </c>
      <c r="B79" s="9">
        <v>13</v>
      </c>
      <c r="C79" s="9" t="s">
        <v>117</v>
      </c>
      <c r="D79" s="9" t="s">
        <v>44</v>
      </c>
      <c r="E79" s="9">
        <v>44</v>
      </c>
      <c r="F79" s="14">
        <f t="shared" si="1"/>
        <v>473.6120583352278</v>
      </c>
      <c r="G79" s="15" t="s">
        <v>88</v>
      </c>
      <c r="I79" s="16">
        <v>45863</v>
      </c>
      <c r="J79" s="16">
        <v>45866</v>
      </c>
      <c r="K79" s="9">
        <v>30</v>
      </c>
      <c r="L79" s="9" t="s">
        <v>89</v>
      </c>
      <c r="M79" s="9" t="s">
        <v>89</v>
      </c>
      <c r="O79" s="9" t="s">
        <v>89</v>
      </c>
    </row>
    <row r="80" spans="1:15" x14ac:dyDescent="0.25">
      <c r="A80" s="15" t="s">
        <v>28</v>
      </c>
      <c r="B80" s="9">
        <v>14</v>
      </c>
      <c r="C80" s="9" t="s">
        <v>117</v>
      </c>
      <c r="D80" s="9" t="s">
        <v>44</v>
      </c>
      <c r="E80" s="9">
        <v>44</v>
      </c>
      <c r="F80" s="14">
        <f t="shared" si="1"/>
        <v>473.6120583352278</v>
      </c>
      <c r="G80" s="15" t="s">
        <v>88</v>
      </c>
      <c r="I80" s="16">
        <v>45814</v>
      </c>
      <c r="J80" s="16">
        <v>45819</v>
      </c>
      <c r="K80" s="9">
        <v>29</v>
      </c>
      <c r="L80" s="9" t="s">
        <v>89</v>
      </c>
      <c r="M80" s="9" t="s">
        <v>89</v>
      </c>
      <c r="O80" s="9" t="s">
        <v>89</v>
      </c>
    </row>
    <row r="81" spans="1:15" x14ac:dyDescent="0.25">
      <c r="A81" s="15" t="s">
        <v>28</v>
      </c>
      <c r="B81" s="9">
        <v>15</v>
      </c>
      <c r="C81" s="9" t="s">
        <v>117</v>
      </c>
      <c r="D81" s="9" t="s">
        <v>44</v>
      </c>
      <c r="E81" s="9">
        <v>39</v>
      </c>
      <c r="F81" s="14">
        <f t="shared" si="1"/>
        <v>419.7925062516792</v>
      </c>
      <c r="G81" s="15" t="s">
        <v>88</v>
      </c>
      <c r="I81" s="16">
        <v>45918</v>
      </c>
      <c r="J81" s="16">
        <v>45926</v>
      </c>
      <c r="L81" s="9" t="s">
        <v>89</v>
      </c>
      <c r="M81" s="9" t="s">
        <v>89</v>
      </c>
      <c r="O81" s="9" t="s">
        <v>89</v>
      </c>
    </row>
    <row r="82" spans="1:15" x14ac:dyDescent="0.25">
      <c r="A82" s="15" t="s">
        <v>28</v>
      </c>
      <c r="B82" s="9">
        <v>16</v>
      </c>
      <c r="C82" s="9" t="s">
        <v>117</v>
      </c>
      <c r="D82" s="9" t="s">
        <v>44</v>
      </c>
      <c r="E82" s="9">
        <v>41</v>
      </c>
      <c r="F82" s="14">
        <f t="shared" si="1"/>
        <v>441.3203270850986</v>
      </c>
      <c r="G82" s="15" t="s">
        <v>88</v>
      </c>
      <c r="I82" s="16">
        <v>45807</v>
      </c>
      <c r="J82" s="16">
        <v>45807</v>
      </c>
      <c r="L82" s="9" t="s">
        <v>89</v>
      </c>
      <c r="M82" s="9" t="s">
        <v>89</v>
      </c>
      <c r="O82" s="9" t="s">
        <v>89</v>
      </c>
    </row>
    <row r="83" spans="1:15" x14ac:dyDescent="0.25">
      <c r="A83" s="15" t="s">
        <v>28</v>
      </c>
      <c r="B83" s="9">
        <v>17</v>
      </c>
      <c r="C83" s="9" t="s">
        <v>117</v>
      </c>
      <c r="D83" s="9" t="s">
        <v>52</v>
      </c>
      <c r="E83" s="9">
        <v>63</v>
      </c>
      <c r="F83" s="14">
        <f t="shared" si="1"/>
        <v>678.1263562527125</v>
      </c>
      <c r="G83" s="15" t="s">
        <v>88</v>
      </c>
      <c r="I83" s="16">
        <v>45805</v>
      </c>
      <c r="J83" s="16">
        <v>45819</v>
      </c>
      <c r="L83" s="9" t="s">
        <v>45</v>
      </c>
      <c r="M83" s="9" t="s">
        <v>89</v>
      </c>
      <c r="O83" s="9" t="s">
        <v>89</v>
      </c>
    </row>
    <row r="84" spans="1:15" x14ac:dyDescent="0.25">
      <c r="A84" s="15" t="s">
        <v>28</v>
      </c>
      <c r="B84" s="9">
        <v>18</v>
      </c>
      <c r="C84" s="9" t="s">
        <v>117</v>
      </c>
      <c r="D84" s="9" t="s">
        <v>52</v>
      </c>
      <c r="E84" s="9">
        <v>62</v>
      </c>
      <c r="F84" s="14">
        <f t="shared" si="1"/>
        <v>667.3624458360027</v>
      </c>
      <c r="G84" s="15" t="s">
        <v>88</v>
      </c>
      <c r="I84" s="16">
        <v>45833</v>
      </c>
      <c r="J84" s="16">
        <v>45833</v>
      </c>
      <c r="K84" s="9">
        <v>23</v>
      </c>
      <c r="L84" s="9" t="s">
        <v>45</v>
      </c>
      <c r="M84" s="9" t="s">
        <v>89</v>
      </c>
      <c r="O84" s="9" t="s">
        <v>89</v>
      </c>
    </row>
    <row r="85" spans="1:15" x14ac:dyDescent="0.25">
      <c r="A85" s="15" t="s">
        <v>28</v>
      </c>
      <c r="B85" s="9">
        <v>19</v>
      </c>
      <c r="C85" s="9" t="s">
        <v>117</v>
      </c>
      <c r="D85" s="9" t="s">
        <v>52</v>
      </c>
      <c r="E85" s="9">
        <v>64</v>
      </c>
      <c r="F85" s="14">
        <f t="shared" si="1"/>
        <v>688.8902666694222</v>
      </c>
      <c r="G85" s="15" t="s">
        <v>88</v>
      </c>
      <c r="I85" s="16">
        <v>45869</v>
      </c>
      <c r="J85" s="16">
        <v>45882</v>
      </c>
      <c r="K85" s="9">
        <v>49</v>
      </c>
      <c r="L85" s="9" t="s">
        <v>45</v>
      </c>
      <c r="M85" s="9" t="s">
        <v>89</v>
      </c>
      <c r="O85" s="9" t="s">
        <v>89</v>
      </c>
    </row>
    <row r="86" spans="1:15" x14ac:dyDescent="0.25">
      <c r="A86" s="15" t="s">
        <v>28</v>
      </c>
      <c r="B86" s="9">
        <v>20</v>
      </c>
      <c r="C86" s="9" t="s">
        <v>117</v>
      </c>
      <c r="D86" s="9" t="s">
        <v>52</v>
      </c>
      <c r="E86" s="9">
        <v>62</v>
      </c>
      <c r="F86" s="14">
        <f t="shared" si="1"/>
        <v>667.3624458360027</v>
      </c>
      <c r="G86" s="15" t="s">
        <v>88</v>
      </c>
      <c r="I86" s="16">
        <v>45903</v>
      </c>
      <c r="J86" s="16">
        <v>45905</v>
      </c>
      <c r="K86" s="9">
        <v>33</v>
      </c>
      <c r="L86" s="9" t="s">
        <v>45</v>
      </c>
      <c r="M86" s="9" t="s">
        <v>89</v>
      </c>
      <c r="O86" s="9" t="s">
        <v>89</v>
      </c>
    </row>
    <row r="87" spans="1:15" x14ac:dyDescent="0.25">
      <c r="A87" s="15" t="s">
        <v>28</v>
      </c>
      <c r="B87" s="9">
        <v>21</v>
      </c>
      <c r="C87" s="9" t="s">
        <v>117</v>
      </c>
      <c r="D87" s="9" t="s">
        <v>52</v>
      </c>
      <c r="E87" s="9">
        <v>65</v>
      </c>
      <c r="F87" s="14">
        <f t="shared" si="1"/>
        <v>699.654177086132</v>
      </c>
      <c r="G87" s="15" t="s">
        <v>88</v>
      </c>
      <c r="I87" s="16">
        <v>45856</v>
      </c>
      <c r="J87" s="16">
        <v>45856</v>
      </c>
      <c r="K87" s="9">
        <v>38</v>
      </c>
      <c r="L87" s="9" t="s">
        <v>45</v>
      </c>
      <c r="M87" s="9" t="s">
        <v>89</v>
      </c>
      <c r="O87" s="9" t="s">
        <v>89</v>
      </c>
    </row>
    <row r="88" spans="1:15" x14ac:dyDescent="0.25">
      <c r="A88" s="15" t="s">
        <v>28</v>
      </c>
      <c r="B88" s="9">
        <v>22</v>
      </c>
      <c r="C88" s="9" t="s">
        <v>117</v>
      </c>
      <c r="D88" s="9" t="s">
        <v>52</v>
      </c>
      <c r="E88" s="9">
        <v>65</v>
      </c>
      <c r="F88" s="14">
        <f t="shared" si="1"/>
        <v>699.654177086132</v>
      </c>
      <c r="G88" s="15" t="s">
        <v>88</v>
      </c>
      <c r="I88" s="16"/>
      <c r="J88" s="16"/>
      <c r="L88" s="9" t="s">
        <v>45</v>
      </c>
      <c r="M88" s="9" t="s">
        <v>89</v>
      </c>
      <c r="O88" s="9" t="s">
        <v>89</v>
      </c>
    </row>
    <row r="89" spans="1:15" x14ac:dyDescent="0.25">
      <c r="A89" s="15" t="s">
        <v>28</v>
      </c>
      <c r="B89" s="9">
        <v>23</v>
      </c>
      <c r="C89" s="9" t="s">
        <v>117</v>
      </c>
      <c r="D89" s="9" t="s">
        <v>52</v>
      </c>
      <c r="E89" s="9">
        <v>62</v>
      </c>
      <c r="F89" s="14">
        <f t="shared" si="1"/>
        <v>667.3624458360027</v>
      </c>
      <c r="G89" s="15" t="s">
        <v>88</v>
      </c>
      <c r="I89" s="16">
        <v>45833</v>
      </c>
      <c r="J89" s="16">
        <v>45833</v>
      </c>
      <c r="K89" s="9">
        <v>24</v>
      </c>
      <c r="L89" s="9" t="s">
        <v>45</v>
      </c>
      <c r="M89" s="9" t="s">
        <v>89</v>
      </c>
      <c r="O89" s="9" t="s">
        <v>89</v>
      </c>
    </row>
    <row r="90" spans="1:15" x14ac:dyDescent="0.25">
      <c r="A90" s="15" t="s">
        <v>28</v>
      </c>
      <c r="B90" s="9">
        <v>24</v>
      </c>
      <c r="C90" s="9" t="s">
        <v>118</v>
      </c>
      <c r="D90" s="9" t="s">
        <v>52</v>
      </c>
      <c r="E90" s="9">
        <v>80</v>
      </c>
      <c r="F90" s="14">
        <f t="shared" si="1"/>
        <v>861.1128333367778</v>
      </c>
      <c r="G90" s="15" t="s">
        <v>88</v>
      </c>
      <c r="I90" s="16"/>
      <c r="J90" s="16"/>
      <c r="L90" s="9" t="s">
        <v>45</v>
      </c>
      <c r="M90" s="9" t="s">
        <v>89</v>
      </c>
      <c r="O90" s="9" t="s">
        <v>89</v>
      </c>
    </row>
    <row r="91" spans="1:15" x14ac:dyDescent="0.25">
      <c r="A91" s="15" t="s">
        <v>28</v>
      </c>
      <c r="B91" s="9">
        <v>25</v>
      </c>
      <c r="C91" s="9" t="s">
        <v>118</v>
      </c>
      <c r="D91" s="9" t="s">
        <v>52</v>
      </c>
      <c r="E91" s="9">
        <v>64</v>
      </c>
      <c r="F91" s="14">
        <f t="shared" si="1"/>
        <v>688.8902666694222</v>
      </c>
      <c r="G91" s="15" t="s">
        <v>88</v>
      </c>
      <c r="I91" s="16">
        <v>45821</v>
      </c>
      <c r="J91" s="16">
        <v>45835</v>
      </c>
      <c r="K91" s="9">
        <v>43</v>
      </c>
      <c r="L91" s="9" t="s">
        <v>45</v>
      </c>
      <c r="M91" s="9" t="s">
        <v>89</v>
      </c>
      <c r="O91" s="9" t="s">
        <v>89</v>
      </c>
    </row>
    <row r="92" spans="1:15" x14ac:dyDescent="0.25">
      <c r="A92" s="15" t="s">
        <v>28</v>
      </c>
      <c r="B92" s="9">
        <v>26</v>
      </c>
      <c r="C92" s="9" t="s">
        <v>118</v>
      </c>
      <c r="D92" s="9" t="s">
        <v>44</v>
      </c>
      <c r="E92" s="9">
        <v>44</v>
      </c>
      <c r="F92" s="14">
        <f t="shared" si="1"/>
        <v>473.6120583352278</v>
      </c>
      <c r="G92" s="15" t="s">
        <v>88</v>
      </c>
      <c r="I92" s="16">
        <v>45806</v>
      </c>
      <c r="J92" s="16">
        <v>45805</v>
      </c>
      <c r="L92" s="9" t="s">
        <v>89</v>
      </c>
      <c r="M92" s="9" t="s">
        <v>89</v>
      </c>
      <c r="O92" s="9" t="s">
        <v>89</v>
      </c>
    </row>
    <row r="93" spans="1:15" x14ac:dyDescent="0.25">
      <c r="A93" s="15" t="s">
        <v>28</v>
      </c>
      <c r="B93" s="9">
        <v>27</v>
      </c>
      <c r="C93" s="9" t="s">
        <v>118</v>
      </c>
      <c r="D93" s="9" t="s">
        <v>44</v>
      </c>
      <c r="E93" s="9">
        <v>44</v>
      </c>
      <c r="F93" s="14">
        <f t="shared" si="1"/>
        <v>473.6120583352278</v>
      </c>
      <c r="G93" s="15" t="s">
        <v>88</v>
      </c>
      <c r="I93" s="16">
        <v>45915</v>
      </c>
      <c r="J93" s="16">
        <v>45922</v>
      </c>
      <c r="K93" s="9">
        <v>35</v>
      </c>
      <c r="L93" s="9" t="s">
        <v>89</v>
      </c>
      <c r="M93" s="9" t="s">
        <v>89</v>
      </c>
      <c r="O93" s="9" t="s">
        <v>89</v>
      </c>
    </row>
    <row r="94" spans="1:15" x14ac:dyDescent="0.25">
      <c r="A94" s="15" t="s">
        <v>28</v>
      </c>
      <c r="B94" s="9">
        <v>28</v>
      </c>
      <c r="C94" s="9" t="s">
        <v>118</v>
      </c>
      <c r="D94" s="9" t="s">
        <v>44</v>
      </c>
      <c r="E94" s="9">
        <v>41</v>
      </c>
      <c r="F94" s="14">
        <f t="shared" si="1"/>
        <v>441.3203270850986</v>
      </c>
      <c r="G94" s="15" t="s">
        <v>88</v>
      </c>
      <c r="I94" s="16">
        <v>45856</v>
      </c>
      <c r="J94" s="16">
        <v>45856</v>
      </c>
      <c r="L94" s="9" t="s">
        <v>89</v>
      </c>
      <c r="M94" s="9" t="s">
        <v>89</v>
      </c>
      <c r="O94" s="9" t="s">
        <v>89</v>
      </c>
    </row>
    <row r="95" spans="1:15" x14ac:dyDescent="0.25">
      <c r="A95" s="15" t="s">
        <v>28</v>
      </c>
      <c r="B95" s="9">
        <v>29</v>
      </c>
      <c r="C95" s="9" t="s">
        <v>118</v>
      </c>
      <c r="D95" s="9" t="s">
        <v>44</v>
      </c>
      <c r="E95" s="9">
        <v>37</v>
      </c>
      <c r="F95" s="14">
        <f t="shared" si="1"/>
        <v>398.2646854182597</v>
      </c>
      <c r="G95" s="15" t="s">
        <v>88</v>
      </c>
      <c r="I95" s="16"/>
      <c r="J95" s="16"/>
      <c r="L95" s="9" t="s">
        <v>89</v>
      </c>
      <c r="M95" s="9" t="s">
        <v>89</v>
      </c>
      <c r="O95" s="9" t="s">
        <v>89</v>
      </c>
    </row>
    <row r="96" spans="1:15" x14ac:dyDescent="0.25">
      <c r="A96" s="15" t="s">
        <v>28</v>
      </c>
      <c r="B96" s="9">
        <v>30</v>
      </c>
      <c r="C96" s="9" t="s">
        <v>118</v>
      </c>
      <c r="D96" s="9" t="s">
        <v>52</v>
      </c>
      <c r="E96" s="9">
        <v>61</v>
      </c>
      <c r="F96" s="14">
        <f t="shared" si="1"/>
        <v>656.5985354192931</v>
      </c>
      <c r="G96" s="15" t="s">
        <v>88</v>
      </c>
      <c r="I96" s="16">
        <v>45806</v>
      </c>
      <c r="J96" s="16">
        <v>45847</v>
      </c>
      <c r="K96" s="9">
        <v>31</v>
      </c>
      <c r="L96" s="9" t="s">
        <v>45</v>
      </c>
      <c r="M96" s="9" t="s">
        <v>89</v>
      </c>
      <c r="O96" s="9" t="s">
        <v>89</v>
      </c>
    </row>
    <row r="97" spans="1:15" x14ac:dyDescent="0.25">
      <c r="A97" s="15" t="s">
        <v>28</v>
      </c>
      <c r="B97" s="9">
        <v>31</v>
      </c>
      <c r="C97" s="9" t="s">
        <v>118</v>
      </c>
      <c r="D97" s="9" t="s">
        <v>52</v>
      </c>
      <c r="E97" s="9">
        <v>61</v>
      </c>
      <c r="F97" s="14">
        <f t="shared" si="1"/>
        <v>656.5985354192931</v>
      </c>
      <c r="G97" s="15" t="s">
        <v>88</v>
      </c>
      <c r="I97" s="16">
        <v>45798</v>
      </c>
      <c r="J97" s="16">
        <v>45799</v>
      </c>
      <c r="K97" s="9">
        <v>18</v>
      </c>
      <c r="L97" s="9" t="s">
        <v>45</v>
      </c>
      <c r="M97" s="9" t="s">
        <v>89</v>
      </c>
      <c r="O97" s="9" t="s">
        <v>89</v>
      </c>
    </row>
    <row r="98" spans="1:15" x14ac:dyDescent="0.25">
      <c r="A98" s="15" t="s">
        <v>28</v>
      </c>
      <c r="B98" s="9">
        <v>32</v>
      </c>
      <c r="C98" s="9" t="s">
        <v>118</v>
      </c>
      <c r="D98" s="9" t="s">
        <v>44</v>
      </c>
      <c r="E98" s="9">
        <v>38</v>
      </c>
      <c r="F98" s="14">
        <f t="shared" si="1"/>
        <v>409.02859583496945</v>
      </c>
      <c r="G98" s="15" t="s">
        <v>88</v>
      </c>
      <c r="I98" s="16">
        <v>45903</v>
      </c>
      <c r="J98" s="16">
        <v>45905</v>
      </c>
      <c r="K98" s="9">
        <v>27</v>
      </c>
      <c r="L98" s="9" t="s">
        <v>89</v>
      </c>
      <c r="M98" s="9" t="s">
        <v>89</v>
      </c>
      <c r="O98" s="9" t="s">
        <v>89</v>
      </c>
    </row>
    <row r="99" spans="1:15" x14ac:dyDescent="0.25">
      <c r="A99" s="15" t="s">
        <v>28</v>
      </c>
      <c r="B99" s="9">
        <v>33</v>
      </c>
      <c r="C99" s="9" t="s">
        <v>118</v>
      </c>
      <c r="D99" s="9" t="s">
        <v>44</v>
      </c>
      <c r="E99" s="9">
        <v>38</v>
      </c>
      <c r="F99" s="14">
        <f t="shared" si="1"/>
        <v>409.02859583496945</v>
      </c>
      <c r="G99" s="15" t="s">
        <v>88</v>
      </c>
      <c r="I99" s="16">
        <v>45856</v>
      </c>
      <c r="J99" s="16">
        <v>45894</v>
      </c>
      <c r="L99" s="9" t="s">
        <v>89</v>
      </c>
      <c r="M99" s="9" t="s">
        <v>89</v>
      </c>
      <c r="O99" s="9" t="s">
        <v>89</v>
      </c>
    </row>
    <row r="100" spans="1:15" x14ac:dyDescent="0.25">
      <c r="A100" s="15" t="s">
        <v>28</v>
      </c>
      <c r="B100" s="9">
        <v>34</v>
      </c>
      <c r="C100" s="9" t="s">
        <v>118</v>
      </c>
      <c r="D100" s="9" t="s">
        <v>44</v>
      </c>
      <c r="E100" s="9">
        <v>38</v>
      </c>
      <c r="F100" s="14">
        <f t="shared" si="1"/>
        <v>409.02859583496945</v>
      </c>
      <c r="G100" s="15" t="s">
        <v>88</v>
      </c>
      <c r="I100" s="16">
        <v>45940</v>
      </c>
      <c r="J100" s="16">
        <v>45961</v>
      </c>
      <c r="L100" s="9" t="s">
        <v>89</v>
      </c>
      <c r="M100" s="9" t="s">
        <v>89</v>
      </c>
      <c r="O100" s="9" t="s">
        <v>89</v>
      </c>
    </row>
    <row r="101" spans="1:15" x14ac:dyDescent="0.25">
      <c r="A101" s="15" t="s">
        <v>28</v>
      </c>
      <c r="B101" s="9">
        <v>35</v>
      </c>
      <c r="C101" s="9" t="s">
        <v>118</v>
      </c>
      <c r="D101" s="9" t="s">
        <v>44</v>
      </c>
      <c r="E101" s="9">
        <v>38</v>
      </c>
      <c r="F101" s="14">
        <f t="shared" si="1"/>
        <v>409.02859583496945</v>
      </c>
      <c r="G101" s="15" t="s">
        <v>88</v>
      </c>
      <c r="I101" s="16">
        <v>45820</v>
      </c>
      <c r="J101" s="16">
        <v>45821</v>
      </c>
      <c r="L101" s="9" t="s">
        <v>89</v>
      </c>
      <c r="M101" s="9" t="s">
        <v>89</v>
      </c>
      <c r="O101" s="9" t="s">
        <v>89</v>
      </c>
    </row>
    <row r="102" spans="1:15" x14ac:dyDescent="0.25">
      <c r="A102" s="15" t="s">
        <v>28</v>
      </c>
      <c r="B102" s="9">
        <v>36</v>
      </c>
      <c r="C102" s="9" t="s">
        <v>118</v>
      </c>
      <c r="D102" s="9" t="s">
        <v>44</v>
      </c>
      <c r="E102" s="9">
        <v>42</v>
      </c>
      <c r="F102" s="14">
        <f t="shared" si="1"/>
        <v>452.08423750180833</v>
      </c>
      <c r="G102" s="15" t="s">
        <v>88</v>
      </c>
      <c r="I102" s="16">
        <v>45833</v>
      </c>
      <c r="J102" s="16">
        <v>45856</v>
      </c>
      <c r="L102" s="9" t="s">
        <v>89</v>
      </c>
      <c r="M102" s="9" t="s">
        <v>89</v>
      </c>
      <c r="O102" s="9" t="s">
        <v>89</v>
      </c>
    </row>
    <row r="103" spans="1:15" x14ac:dyDescent="0.25">
      <c r="A103" s="15" t="s">
        <v>28</v>
      </c>
      <c r="B103" s="9">
        <v>37</v>
      </c>
      <c r="C103" s="9" t="s">
        <v>118</v>
      </c>
      <c r="D103" s="9" t="s">
        <v>44</v>
      </c>
      <c r="E103" s="9">
        <v>41</v>
      </c>
      <c r="F103" s="14">
        <f t="shared" si="1"/>
        <v>441.3203270850986</v>
      </c>
      <c r="G103" s="15" t="s">
        <v>88</v>
      </c>
      <c r="I103" s="16">
        <v>45806</v>
      </c>
      <c r="J103" s="16">
        <v>45835</v>
      </c>
      <c r="K103" s="9">
        <v>22</v>
      </c>
      <c r="L103" s="9" t="s">
        <v>89</v>
      </c>
      <c r="M103" s="9" t="s">
        <v>89</v>
      </c>
      <c r="O103" s="9" t="s">
        <v>89</v>
      </c>
    </row>
    <row r="104" spans="1:15" x14ac:dyDescent="0.25">
      <c r="A104" s="15" t="s">
        <v>28</v>
      </c>
      <c r="B104" s="9">
        <v>38</v>
      </c>
      <c r="C104" s="9" t="s">
        <v>118</v>
      </c>
      <c r="D104" s="9" t="s">
        <v>44</v>
      </c>
      <c r="E104" s="9">
        <v>43</v>
      </c>
      <c r="F104" s="14">
        <f t="shared" si="1"/>
        <v>462.84814791851807</v>
      </c>
      <c r="G104" s="15" t="s">
        <v>88</v>
      </c>
      <c r="I104" s="16">
        <v>45876</v>
      </c>
      <c r="J104" s="16">
        <v>45877</v>
      </c>
      <c r="K104" s="9">
        <v>21</v>
      </c>
      <c r="L104" s="9" t="s">
        <v>89</v>
      </c>
      <c r="M104" s="9" t="s">
        <v>89</v>
      </c>
      <c r="O104" s="9" t="s">
        <v>89</v>
      </c>
    </row>
    <row r="105" spans="1:15" x14ac:dyDescent="0.25">
      <c r="A105" s="15" t="s">
        <v>28</v>
      </c>
      <c r="B105" s="9">
        <v>39</v>
      </c>
      <c r="C105" s="9" t="s">
        <v>118</v>
      </c>
      <c r="D105" s="9" t="s">
        <v>44</v>
      </c>
      <c r="E105" s="9">
        <v>43</v>
      </c>
      <c r="F105" s="14">
        <f t="shared" si="1"/>
        <v>462.84814791851807</v>
      </c>
      <c r="G105" s="15" t="s">
        <v>88</v>
      </c>
      <c r="I105" s="16">
        <v>45800</v>
      </c>
      <c r="J105" s="16">
        <v>45814</v>
      </c>
      <c r="L105" s="9" t="s">
        <v>89</v>
      </c>
      <c r="M105" s="9" t="s">
        <v>89</v>
      </c>
      <c r="O105" s="9" t="s">
        <v>89</v>
      </c>
    </row>
    <row r="106" spans="1:15" x14ac:dyDescent="0.25">
      <c r="A106" s="15" t="s">
        <v>28</v>
      </c>
      <c r="B106" s="9">
        <v>40</v>
      </c>
      <c r="C106" s="9" t="s">
        <v>119</v>
      </c>
      <c r="D106" s="9" t="s">
        <v>52</v>
      </c>
      <c r="E106" s="9">
        <v>81</v>
      </c>
      <c r="F106" s="14">
        <f t="shared" si="1"/>
        <v>871.8767437534875</v>
      </c>
      <c r="G106" s="15" t="s">
        <v>88</v>
      </c>
      <c r="I106" s="16">
        <v>46066</v>
      </c>
      <c r="J106" s="16">
        <v>46080</v>
      </c>
      <c r="K106" s="9" t="s">
        <v>120</v>
      </c>
      <c r="L106" s="9" t="s">
        <v>45</v>
      </c>
      <c r="M106" s="9" t="s">
        <v>89</v>
      </c>
      <c r="O106" s="9" t="s">
        <v>89</v>
      </c>
    </row>
    <row r="107" spans="1:15" x14ac:dyDescent="0.25">
      <c r="A107" s="15" t="s">
        <v>28</v>
      </c>
      <c r="B107" s="9">
        <v>41</v>
      </c>
      <c r="C107" s="9" t="s">
        <v>119</v>
      </c>
      <c r="D107" s="9" t="s">
        <v>52</v>
      </c>
      <c r="E107" s="9">
        <v>64</v>
      </c>
      <c r="F107" s="14">
        <f t="shared" si="1"/>
        <v>688.8902666694222</v>
      </c>
      <c r="G107" s="15" t="s">
        <v>88</v>
      </c>
      <c r="I107" s="16">
        <v>45805</v>
      </c>
      <c r="J107" s="16">
        <v>45805</v>
      </c>
      <c r="K107" s="9">
        <v>37</v>
      </c>
      <c r="L107" s="9" t="s">
        <v>45</v>
      </c>
      <c r="M107" s="9" t="s">
        <v>89</v>
      </c>
      <c r="O107" s="9" t="s">
        <v>89</v>
      </c>
    </row>
    <row r="108" spans="1:15" x14ac:dyDescent="0.25">
      <c r="A108" s="15" t="s">
        <v>28</v>
      </c>
      <c r="B108" s="9">
        <v>42</v>
      </c>
      <c r="C108" s="9" t="s">
        <v>119</v>
      </c>
      <c r="D108" s="9" t="s">
        <v>44</v>
      </c>
      <c r="E108" s="9">
        <v>44</v>
      </c>
      <c r="F108" s="14">
        <f t="shared" si="1"/>
        <v>473.6120583352278</v>
      </c>
      <c r="G108" s="15" t="s">
        <v>88</v>
      </c>
      <c r="I108" s="16">
        <v>46009</v>
      </c>
      <c r="J108" s="16">
        <v>46378</v>
      </c>
      <c r="L108" s="9" t="s">
        <v>89</v>
      </c>
      <c r="M108" s="9" t="s">
        <v>89</v>
      </c>
      <c r="O108" s="9" t="s">
        <v>89</v>
      </c>
    </row>
    <row r="109" spans="1:15" x14ac:dyDescent="0.25">
      <c r="A109" s="15" t="s">
        <v>28</v>
      </c>
      <c r="B109" s="9">
        <v>43</v>
      </c>
      <c r="C109" s="9" t="s">
        <v>119</v>
      </c>
      <c r="D109" s="9" t="s">
        <v>44</v>
      </c>
      <c r="E109" s="9">
        <v>44</v>
      </c>
      <c r="F109" s="14">
        <f t="shared" si="1"/>
        <v>473.6120583352278</v>
      </c>
      <c r="G109" s="15" t="s">
        <v>88</v>
      </c>
      <c r="I109" s="16">
        <v>45860</v>
      </c>
      <c r="J109" s="16">
        <v>45894</v>
      </c>
      <c r="K109" s="9">
        <v>50</v>
      </c>
      <c r="L109" s="9" t="s">
        <v>89</v>
      </c>
      <c r="M109" s="9" t="s">
        <v>89</v>
      </c>
      <c r="O109" s="9" t="s">
        <v>89</v>
      </c>
    </row>
    <row r="110" spans="1:15" x14ac:dyDescent="0.25">
      <c r="A110" s="15" t="s">
        <v>28</v>
      </c>
      <c r="B110" s="9">
        <v>44</v>
      </c>
      <c r="C110" s="9" t="s">
        <v>119</v>
      </c>
      <c r="D110" s="9" t="s">
        <v>44</v>
      </c>
      <c r="E110" s="9">
        <v>41</v>
      </c>
      <c r="F110" s="14">
        <f t="shared" si="1"/>
        <v>441.3203270850986</v>
      </c>
      <c r="G110" s="15" t="s">
        <v>88</v>
      </c>
      <c r="I110" s="16">
        <v>45805</v>
      </c>
      <c r="J110" s="16">
        <v>45821</v>
      </c>
      <c r="L110" s="9" t="s">
        <v>89</v>
      </c>
      <c r="M110" s="9" t="s">
        <v>89</v>
      </c>
      <c r="O110" s="9" t="s">
        <v>89</v>
      </c>
    </row>
    <row r="111" spans="1:15" x14ac:dyDescent="0.25">
      <c r="A111" s="15" t="s">
        <v>28</v>
      </c>
      <c r="B111" s="9">
        <v>45</v>
      </c>
      <c r="C111" s="9" t="s">
        <v>119</v>
      </c>
      <c r="D111" s="9" t="s">
        <v>44</v>
      </c>
      <c r="E111" s="9">
        <v>38</v>
      </c>
      <c r="F111" s="14">
        <f t="shared" si="1"/>
        <v>409.02859583496945</v>
      </c>
      <c r="G111" s="15" t="s">
        <v>88</v>
      </c>
      <c r="I111" s="16">
        <v>45912</v>
      </c>
      <c r="J111" s="16">
        <v>45919</v>
      </c>
      <c r="K111" s="9">
        <v>32</v>
      </c>
      <c r="L111" s="9" t="s">
        <v>89</v>
      </c>
      <c r="M111" s="9" t="s">
        <v>89</v>
      </c>
      <c r="O111" s="9" t="s">
        <v>89</v>
      </c>
    </row>
    <row r="112" spans="1:15" x14ac:dyDescent="0.25">
      <c r="A112" s="15" t="s">
        <v>28</v>
      </c>
      <c r="B112" s="9">
        <v>46</v>
      </c>
      <c r="C112" s="9" t="s">
        <v>119</v>
      </c>
      <c r="D112" s="9" t="s">
        <v>52</v>
      </c>
      <c r="E112" s="9">
        <v>61</v>
      </c>
      <c r="F112" s="14">
        <f t="shared" si="1"/>
        <v>656.5985354192931</v>
      </c>
      <c r="G112" s="15" t="s">
        <v>88</v>
      </c>
      <c r="I112" s="16">
        <v>45826</v>
      </c>
      <c r="J112" s="16">
        <v>45826</v>
      </c>
      <c r="K112" s="9">
        <v>19</v>
      </c>
      <c r="L112" s="9" t="s">
        <v>45</v>
      </c>
      <c r="M112" s="9" t="s">
        <v>89</v>
      </c>
      <c r="O112" s="9" t="s">
        <v>89</v>
      </c>
    </row>
    <row r="113" spans="1:15" x14ac:dyDescent="0.25">
      <c r="A113" s="15" t="s">
        <v>28</v>
      </c>
      <c r="B113" s="9">
        <v>47</v>
      </c>
      <c r="C113" s="9" t="s">
        <v>119</v>
      </c>
      <c r="D113" s="9" t="s">
        <v>52</v>
      </c>
      <c r="E113" s="9">
        <v>61</v>
      </c>
      <c r="F113" s="14">
        <f t="shared" si="1"/>
        <v>656.5985354192931</v>
      </c>
      <c r="G113" s="15" t="s">
        <v>88</v>
      </c>
      <c r="I113" s="16">
        <v>45946</v>
      </c>
      <c r="J113" s="16">
        <v>45947</v>
      </c>
      <c r="K113" s="9">
        <v>26</v>
      </c>
      <c r="L113" s="9" t="s">
        <v>45</v>
      </c>
      <c r="M113" s="9" t="s">
        <v>89</v>
      </c>
      <c r="O113" s="9" t="s">
        <v>89</v>
      </c>
    </row>
    <row r="114" spans="1:15" x14ac:dyDescent="0.25">
      <c r="A114" s="15" t="s">
        <v>28</v>
      </c>
      <c r="B114" s="9">
        <v>48</v>
      </c>
      <c r="C114" s="9" t="s">
        <v>119</v>
      </c>
      <c r="D114" s="9" t="s">
        <v>44</v>
      </c>
      <c r="E114" s="9">
        <v>38</v>
      </c>
      <c r="F114" s="14">
        <f t="shared" si="1"/>
        <v>409.02859583496945</v>
      </c>
      <c r="G114" s="15" t="s">
        <v>88</v>
      </c>
      <c r="I114" s="16">
        <v>45924</v>
      </c>
      <c r="J114" s="16">
        <v>45924</v>
      </c>
      <c r="K114" s="9">
        <v>36</v>
      </c>
      <c r="L114" s="9" t="s">
        <v>89</v>
      </c>
      <c r="M114" s="9" t="s">
        <v>89</v>
      </c>
      <c r="O114" s="9" t="s">
        <v>89</v>
      </c>
    </row>
    <row r="115" spans="1:15" x14ac:dyDescent="0.25">
      <c r="A115" s="15" t="s">
        <v>28</v>
      </c>
      <c r="B115" s="9">
        <v>49</v>
      </c>
      <c r="C115" s="9" t="s">
        <v>119</v>
      </c>
      <c r="D115" s="9" t="s">
        <v>44</v>
      </c>
      <c r="E115" s="9">
        <v>38</v>
      </c>
      <c r="F115" s="14">
        <f t="shared" si="1"/>
        <v>409.02859583496945</v>
      </c>
      <c r="G115" s="15" t="s">
        <v>88</v>
      </c>
      <c r="I115" s="16"/>
      <c r="J115" s="16"/>
      <c r="L115" s="9" t="s">
        <v>89</v>
      </c>
      <c r="M115" s="9" t="s">
        <v>89</v>
      </c>
      <c r="O115" s="9" t="s">
        <v>89</v>
      </c>
    </row>
    <row r="116" spans="1:15" x14ac:dyDescent="0.25">
      <c r="A116" s="15" t="s">
        <v>28</v>
      </c>
      <c r="B116" s="9">
        <v>50</v>
      </c>
      <c r="C116" s="9" t="s">
        <v>119</v>
      </c>
      <c r="D116" s="9" t="s">
        <v>44</v>
      </c>
      <c r="E116" s="9">
        <v>38</v>
      </c>
      <c r="F116" s="14">
        <f t="shared" si="1"/>
        <v>409.02859583496945</v>
      </c>
      <c r="G116" s="15" t="s">
        <v>88</v>
      </c>
      <c r="I116" s="16">
        <v>46094</v>
      </c>
      <c r="J116" s="16">
        <v>46098</v>
      </c>
      <c r="L116" s="9" t="s">
        <v>89</v>
      </c>
      <c r="M116" s="9" t="s">
        <v>89</v>
      </c>
      <c r="O116" s="9" t="s">
        <v>89</v>
      </c>
    </row>
    <row r="117" spans="1:15" x14ac:dyDescent="0.25">
      <c r="A117" s="15" t="s">
        <v>28</v>
      </c>
      <c r="B117" s="9">
        <v>51</v>
      </c>
      <c r="C117" s="9" t="s">
        <v>119</v>
      </c>
      <c r="D117" s="9" t="s">
        <v>44</v>
      </c>
      <c r="E117" s="9">
        <v>38</v>
      </c>
      <c r="F117" s="14">
        <f t="shared" si="1"/>
        <v>409.02859583496945</v>
      </c>
      <c r="G117" s="15" t="s">
        <v>88</v>
      </c>
      <c r="I117" s="16">
        <v>45903</v>
      </c>
      <c r="J117" s="16">
        <v>45905</v>
      </c>
      <c r="K117" s="9">
        <v>34</v>
      </c>
      <c r="L117" s="9" t="s">
        <v>89</v>
      </c>
      <c r="M117" s="9" t="s">
        <v>89</v>
      </c>
      <c r="O117" s="9" t="s">
        <v>89</v>
      </c>
    </row>
    <row r="118" spans="1:15" x14ac:dyDescent="0.25">
      <c r="A118" s="15" t="s">
        <v>28</v>
      </c>
      <c r="B118" s="9">
        <v>52</v>
      </c>
      <c r="C118" s="9" t="s">
        <v>119</v>
      </c>
      <c r="D118" s="9" t="s">
        <v>44</v>
      </c>
      <c r="E118" s="9">
        <v>42</v>
      </c>
      <c r="F118" s="14">
        <f t="shared" si="1"/>
        <v>452.08423750180833</v>
      </c>
      <c r="G118" s="15" t="s">
        <v>88</v>
      </c>
      <c r="I118" s="16">
        <v>45895</v>
      </c>
      <c r="J118" s="16">
        <v>45898</v>
      </c>
      <c r="L118" s="9" t="s">
        <v>89</v>
      </c>
      <c r="M118" s="9" t="s">
        <v>89</v>
      </c>
      <c r="O118" s="9" t="s">
        <v>89</v>
      </c>
    </row>
    <row r="119" spans="1:15" x14ac:dyDescent="0.25">
      <c r="A119" s="15" t="s">
        <v>28</v>
      </c>
      <c r="B119" s="9">
        <v>53</v>
      </c>
      <c r="C119" s="9" t="s">
        <v>119</v>
      </c>
      <c r="D119" s="9" t="s">
        <v>44</v>
      </c>
      <c r="E119" s="9">
        <v>41</v>
      </c>
      <c r="F119" s="14">
        <f t="shared" si="1"/>
        <v>441.3203270850986</v>
      </c>
      <c r="G119" s="15" t="s">
        <v>88</v>
      </c>
      <c r="I119" s="16">
        <v>45901</v>
      </c>
      <c r="J119" s="16">
        <v>45901</v>
      </c>
      <c r="K119" s="9">
        <v>25</v>
      </c>
      <c r="L119" s="9" t="s">
        <v>89</v>
      </c>
      <c r="M119" s="9" t="s">
        <v>89</v>
      </c>
      <c r="O119" s="9" t="s">
        <v>89</v>
      </c>
    </row>
    <row r="120" spans="1:15" x14ac:dyDescent="0.25">
      <c r="A120" s="15" t="s">
        <v>28</v>
      </c>
      <c r="B120" s="9">
        <v>54</v>
      </c>
      <c r="C120" s="9" t="s">
        <v>119</v>
      </c>
      <c r="D120" s="9" t="s">
        <v>44</v>
      </c>
      <c r="E120" s="9">
        <v>43</v>
      </c>
      <c r="F120" s="14">
        <f t="shared" si="1"/>
        <v>462.84814791851807</v>
      </c>
      <c r="G120" s="15" t="s">
        <v>88</v>
      </c>
      <c r="I120" s="16">
        <v>45891</v>
      </c>
      <c r="J120" s="16">
        <v>45896</v>
      </c>
      <c r="K120" s="9">
        <v>44</v>
      </c>
      <c r="L120" s="9" t="s">
        <v>89</v>
      </c>
      <c r="M120" s="9" t="s">
        <v>89</v>
      </c>
      <c r="O120" s="9" t="s">
        <v>89</v>
      </c>
    </row>
    <row r="121" spans="1:15" x14ac:dyDescent="0.25">
      <c r="A121" s="15" t="s">
        <v>28</v>
      </c>
      <c r="B121" s="9">
        <v>55</v>
      </c>
      <c r="C121" s="9" t="s">
        <v>119</v>
      </c>
      <c r="D121" s="9" t="s">
        <v>44</v>
      </c>
      <c r="E121" s="9">
        <v>43</v>
      </c>
      <c r="F121" s="14">
        <f t="shared" si="1"/>
        <v>462.84814791851807</v>
      </c>
      <c r="G121" s="15" t="s">
        <v>88</v>
      </c>
      <c r="I121" s="16">
        <v>45855</v>
      </c>
      <c r="J121" s="16">
        <v>45856</v>
      </c>
      <c r="L121" s="9" t="s">
        <v>89</v>
      </c>
      <c r="M121" s="9" t="s">
        <v>89</v>
      </c>
      <c r="O121" s="9" t="s">
        <v>89</v>
      </c>
    </row>
    <row r="122" spans="1:15" x14ac:dyDescent="0.25">
      <c r="A122" s="15" t="s">
        <v>28</v>
      </c>
      <c r="B122" s="9">
        <v>56</v>
      </c>
      <c r="C122" s="9" t="s">
        <v>121</v>
      </c>
      <c r="D122" s="9" t="s">
        <v>52</v>
      </c>
      <c r="E122" s="9">
        <v>80</v>
      </c>
      <c r="F122" s="14">
        <f t="shared" si="1"/>
        <v>861.1128333367778</v>
      </c>
      <c r="G122" s="15" t="s">
        <v>88</v>
      </c>
      <c r="I122" s="16"/>
      <c r="J122" s="16">
        <v>46185</v>
      </c>
      <c r="K122" s="9">
        <v>53</v>
      </c>
      <c r="L122" s="9" t="s">
        <v>45</v>
      </c>
      <c r="M122" s="9" t="s">
        <v>89</v>
      </c>
      <c r="O122" s="9" t="s">
        <v>89</v>
      </c>
    </row>
    <row r="123" spans="1:15" x14ac:dyDescent="0.25">
      <c r="A123" s="15" t="s">
        <v>28</v>
      </c>
      <c r="B123" s="9">
        <v>57</v>
      </c>
      <c r="C123" s="9" t="s">
        <v>121</v>
      </c>
      <c r="D123" s="9" t="s">
        <v>52</v>
      </c>
      <c r="E123" s="9">
        <v>64</v>
      </c>
      <c r="F123" s="14">
        <f t="shared" si="1"/>
        <v>688.8902666694222</v>
      </c>
      <c r="G123" s="15" t="s">
        <v>88</v>
      </c>
      <c r="I123" s="16">
        <v>45987</v>
      </c>
      <c r="J123" s="16">
        <v>45994</v>
      </c>
      <c r="L123" s="9" t="s">
        <v>45</v>
      </c>
      <c r="M123" s="9" t="s">
        <v>89</v>
      </c>
      <c r="O123" s="9" t="s">
        <v>89</v>
      </c>
    </row>
    <row r="124" spans="1:15" x14ac:dyDescent="0.25">
      <c r="A124" s="15" t="s">
        <v>28</v>
      </c>
      <c r="B124" s="9">
        <v>58</v>
      </c>
      <c r="C124" s="9" t="s">
        <v>121</v>
      </c>
      <c r="D124" s="9" t="s">
        <v>44</v>
      </c>
      <c r="E124" s="9">
        <v>44</v>
      </c>
      <c r="F124" s="14">
        <f t="shared" si="1"/>
        <v>473.6120583352278</v>
      </c>
      <c r="G124" s="15" t="s">
        <v>88</v>
      </c>
      <c r="I124" s="16">
        <v>46036</v>
      </c>
      <c r="J124" s="16">
        <v>46036</v>
      </c>
      <c r="K124" s="9">
        <v>42</v>
      </c>
      <c r="L124" s="9" t="s">
        <v>89</v>
      </c>
      <c r="M124" s="9" t="s">
        <v>89</v>
      </c>
      <c r="O124" s="9" t="s">
        <v>89</v>
      </c>
    </row>
    <row r="125" spans="1:15" x14ac:dyDescent="0.25">
      <c r="A125" s="15" t="s">
        <v>28</v>
      </c>
      <c r="B125" s="9">
        <v>59</v>
      </c>
      <c r="C125" s="9" t="s">
        <v>121</v>
      </c>
      <c r="D125" s="9" t="s">
        <v>44</v>
      </c>
      <c r="E125" s="9">
        <v>44</v>
      </c>
      <c r="F125" s="14">
        <f t="shared" si="1"/>
        <v>473.6120583352278</v>
      </c>
      <c r="G125" s="15" t="s">
        <v>88</v>
      </c>
      <c r="I125" s="16">
        <v>45856</v>
      </c>
      <c r="J125" s="16">
        <v>45873</v>
      </c>
      <c r="K125" s="9">
        <v>48</v>
      </c>
      <c r="L125" s="9" t="s">
        <v>89</v>
      </c>
      <c r="M125" s="9" t="s">
        <v>89</v>
      </c>
      <c r="O125" s="9" t="s">
        <v>89</v>
      </c>
    </row>
    <row r="126" spans="1:15" x14ac:dyDescent="0.25">
      <c r="A126" s="15" t="s">
        <v>28</v>
      </c>
      <c r="B126" s="9">
        <v>60</v>
      </c>
      <c r="C126" s="9" t="s">
        <v>121</v>
      </c>
      <c r="D126" s="9" t="s">
        <v>44</v>
      </c>
      <c r="E126" s="9">
        <v>41</v>
      </c>
      <c r="F126" s="14">
        <f t="shared" si="1"/>
        <v>441.3203270850986</v>
      </c>
      <c r="G126" s="15" t="s">
        <v>88</v>
      </c>
      <c r="I126" s="16">
        <v>45868</v>
      </c>
      <c r="J126" s="16">
        <v>45877</v>
      </c>
      <c r="K126" s="9">
        <v>47</v>
      </c>
      <c r="L126" s="9" t="s">
        <v>89</v>
      </c>
      <c r="M126" s="9" t="s">
        <v>89</v>
      </c>
      <c r="O126" s="9" t="s">
        <v>89</v>
      </c>
    </row>
    <row r="127" spans="1:15" x14ac:dyDescent="0.25">
      <c r="A127" s="15" t="s">
        <v>28</v>
      </c>
      <c r="B127" s="9">
        <v>61</v>
      </c>
      <c r="C127" s="9" t="s">
        <v>121</v>
      </c>
      <c r="D127" s="9" t="s">
        <v>44</v>
      </c>
      <c r="E127" s="9">
        <v>39</v>
      </c>
      <c r="F127" s="14">
        <f t="shared" si="1"/>
        <v>419.7925062516792</v>
      </c>
      <c r="G127" s="15" t="s">
        <v>88</v>
      </c>
      <c r="I127" s="16">
        <v>46077</v>
      </c>
      <c r="J127" s="16">
        <v>46080</v>
      </c>
      <c r="L127" s="9" t="s">
        <v>89</v>
      </c>
      <c r="M127" s="9" t="s">
        <v>89</v>
      </c>
      <c r="O127" s="9" t="s">
        <v>89</v>
      </c>
    </row>
    <row r="128" spans="1:16" x14ac:dyDescent="0.25">
      <c r="A128" s="15" t="s">
        <v>28</v>
      </c>
      <c r="B128" s="9">
        <v>62</v>
      </c>
      <c r="C128" s="9" t="s">
        <v>121</v>
      </c>
      <c r="D128" s="9" t="s">
        <v>52</v>
      </c>
      <c r="E128" s="9">
        <v>61</v>
      </c>
      <c r="F128" s="14">
        <f t="shared" si="1"/>
        <v>656.5985354192931</v>
      </c>
      <c r="G128" s="15" t="s">
        <v>88</v>
      </c>
      <c r="I128" s="16"/>
      <c r="J128" s="16">
        <v>46185</v>
      </c>
      <c r="L128" s="9" t="s">
        <v>45</v>
      </c>
      <c r="M128" s="9" t="s">
        <v>89</v>
      </c>
      <c r="O128" s="9" t="s">
        <v>89</v>
      </c>
      <c r="P128" s="9" t="s">
        <v>122</v>
      </c>
    </row>
    <row r="129" spans="1:15" x14ac:dyDescent="0.25">
      <c r="A129" s="15" t="s">
        <v>28</v>
      </c>
      <c r="B129" s="9">
        <v>63</v>
      </c>
      <c r="C129" s="9" t="s">
        <v>121</v>
      </c>
      <c r="D129" s="9" t="s">
        <v>52</v>
      </c>
      <c r="E129" s="9">
        <v>61</v>
      </c>
      <c r="F129" s="14">
        <f t="shared" si="1"/>
        <v>656.5985354192931</v>
      </c>
      <c r="G129" s="15" t="s">
        <v>88</v>
      </c>
      <c r="I129" s="16"/>
      <c r="J129" s="16"/>
      <c r="L129" s="9" t="s">
        <v>45</v>
      </c>
      <c r="M129" s="9" t="s">
        <v>89</v>
      </c>
      <c r="O129" s="9" t="s">
        <v>89</v>
      </c>
    </row>
    <row r="130" spans="1:16" x14ac:dyDescent="0.25">
      <c r="A130" s="15" t="s">
        <v>28</v>
      </c>
      <c r="B130" s="9">
        <v>64</v>
      </c>
      <c r="C130" s="9" t="s">
        <v>121</v>
      </c>
      <c r="D130" s="9" t="s">
        <v>52</v>
      </c>
      <c r="E130" s="9">
        <v>66</v>
      </c>
      <c r="F130" s="14">
        <f t="shared" si="1"/>
        <v>710.4180875028417</v>
      </c>
      <c r="G130" s="15" t="s">
        <v>88</v>
      </c>
      <c r="I130" s="16"/>
      <c r="J130" s="16">
        <v>46185</v>
      </c>
      <c r="L130" s="9" t="s">
        <v>45</v>
      </c>
      <c r="M130" s="9" t="s">
        <v>89</v>
      </c>
      <c r="O130" s="9" t="s">
        <v>89</v>
      </c>
      <c r="P130" s="9" t="s">
        <v>122</v>
      </c>
    </row>
    <row r="131" spans="1:15" x14ac:dyDescent="0.25">
      <c r="A131" s="15" t="s">
        <v>28</v>
      </c>
      <c r="B131" s="9">
        <v>65</v>
      </c>
      <c r="C131" s="9" t="s">
        <v>121</v>
      </c>
      <c r="D131" s="9" t="s">
        <v>52</v>
      </c>
      <c r="E131" s="9">
        <v>63</v>
      </c>
      <c r="F131" s="14">
        <f t="shared" si="1"/>
        <v>678.1263562527125</v>
      </c>
      <c r="G131" s="15" t="s">
        <v>88</v>
      </c>
      <c r="I131" s="16">
        <v>46077</v>
      </c>
      <c r="J131" s="16">
        <v>46080</v>
      </c>
      <c r="K131" s="9">
        <v>51</v>
      </c>
      <c r="L131" s="9" t="s">
        <v>45</v>
      </c>
      <c r="M131" s="9" t="s">
        <v>89</v>
      </c>
      <c r="O131" s="9" t="s">
        <v>89</v>
      </c>
    </row>
    <row r="132" spans="1:15" x14ac:dyDescent="0.25">
      <c r="A132" s="15" t="s">
        <v>28</v>
      </c>
      <c r="B132" s="9">
        <v>66</v>
      </c>
      <c r="C132" s="9" t="s">
        <v>121</v>
      </c>
      <c r="D132" s="9" t="s">
        <v>52</v>
      </c>
      <c r="E132" s="9">
        <v>66</v>
      </c>
      <c r="F132" s="14">
        <f t="shared" si="1"/>
        <v>710.4180875028417</v>
      </c>
      <c r="G132" s="15" t="s">
        <v>88</v>
      </c>
      <c r="I132" s="16">
        <v>46077</v>
      </c>
      <c r="J132" s="16">
        <v>46080</v>
      </c>
      <c r="K132" s="9">
        <v>40</v>
      </c>
      <c r="L132" s="9" t="s">
        <v>45</v>
      </c>
      <c r="M132" s="9" t="s">
        <v>89</v>
      </c>
      <c r="O132" s="9" t="s">
        <v>89</v>
      </c>
    </row>
    <row r="133" spans="1:15" x14ac:dyDescent="0.25">
      <c r="A133" s="15" t="s">
        <v>28</v>
      </c>
      <c r="B133" s="9">
        <v>67</v>
      </c>
      <c r="C133" s="9" t="s">
        <v>121</v>
      </c>
      <c r="D133" s="9" t="s">
        <v>52</v>
      </c>
      <c r="E133" s="9">
        <v>65</v>
      </c>
      <c r="F133" s="14">
        <f t="shared" ref="F133:F196" si="2">CONVERT(E133,"m^2","ft^2")</f>
        <v>699.654177086132</v>
      </c>
      <c r="G133" s="15" t="s">
        <v>88</v>
      </c>
      <c r="I133" s="16">
        <v>46048</v>
      </c>
      <c r="J133" s="16">
        <v>46050</v>
      </c>
      <c r="K133" s="9">
        <v>54</v>
      </c>
      <c r="L133" s="9" t="s">
        <v>45</v>
      </c>
      <c r="M133" s="9" t="s">
        <v>89</v>
      </c>
      <c r="O133" s="9" t="s">
        <v>89</v>
      </c>
    </row>
    <row r="134" spans="1:15" x14ac:dyDescent="0.25">
      <c r="A134" s="15" t="s">
        <v>28</v>
      </c>
      <c r="B134" s="9">
        <v>68</v>
      </c>
      <c r="C134" s="9" t="s">
        <v>121</v>
      </c>
      <c r="D134" s="9" t="s">
        <v>52</v>
      </c>
      <c r="E134" s="9">
        <v>62</v>
      </c>
      <c r="F134" s="14">
        <f t="shared" si="2"/>
        <v>667.3624458360027</v>
      </c>
      <c r="G134" s="15" t="s">
        <v>88</v>
      </c>
      <c r="I134" s="16">
        <v>45854</v>
      </c>
      <c r="J134" s="16">
        <v>45856</v>
      </c>
      <c r="K134" s="9">
        <v>52</v>
      </c>
      <c r="L134" s="9" t="s">
        <v>45</v>
      </c>
      <c r="M134" s="9" t="s">
        <v>89</v>
      </c>
      <c r="O134" s="9" t="s">
        <v>89</v>
      </c>
    </row>
    <row r="135" spans="1:15" x14ac:dyDescent="0.25">
      <c r="A135" s="15" t="s">
        <v>28</v>
      </c>
      <c r="B135" s="9">
        <v>69</v>
      </c>
      <c r="C135" s="9" t="s">
        <v>123</v>
      </c>
      <c r="D135" s="9" t="s">
        <v>44</v>
      </c>
      <c r="E135" s="9">
        <v>50</v>
      </c>
      <c r="F135" s="14">
        <f t="shared" si="2"/>
        <v>538.1955208354861</v>
      </c>
      <c r="G135" s="15" t="s">
        <v>88</v>
      </c>
      <c r="K135" s="9">
        <v>1</v>
      </c>
      <c r="L135" s="9" t="s">
        <v>89</v>
      </c>
      <c r="M135" s="9" t="s">
        <v>89</v>
      </c>
      <c r="O135" s="9" t="s">
        <v>89</v>
      </c>
    </row>
    <row r="136" spans="1:15" x14ac:dyDescent="0.25">
      <c r="A136" s="15" t="s">
        <v>28</v>
      </c>
      <c r="B136" s="9">
        <v>70</v>
      </c>
      <c r="C136" s="9" t="s">
        <v>123</v>
      </c>
      <c r="D136" s="9" t="s">
        <v>44</v>
      </c>
      <c r="E136" s="9">
        <v>47</v>
      </c>
      <c r="F136" s="14">
        <f t="shared" si="2"/>
        <v>505.90378958535695</v>
      </c>
      <c r="G136" s="15" t="s">
        <v>88</v>
      </c>
      <c r="K136" s="9">
        <v>2</v>
      </c>
      <c r="L136" s="9" t="s">
        <v>89</v>
      </c>
      <c r="M136" s="9" t="s">
        <v>89</v>
      </c>
      <c r="O136" s="9" t="s">
        <v>89</v>
      </c>
    </row>
    <row r="137" spans="1:15" x14ac:dyDescent="0.25">
      <c r="A137" s="15" t="s">
        <v>28</v>
      </c>
      <c r="B137" s="9">
        <v>71</v>
      </c>
      <c r="C137" s="9" t="s">
        <v>123</v>
      </c>
      <c r="D137" s="9" t="s">
        <v>44</v>
      </c>
      <c r="E137" s="9">
        <v>47</v>
      </c>
      <c r="F137" s="14">
        <f t="shared" si="2"/>
        <v>505.90378958535695</v>
      </c>
      <c r="G137" s="15" t="s">
        <v>88</v>
      </c>
      <c r="K137" s="9">
        <v>3</v>
      </c>
      <c r="L137" s="9" t="s">
        <v>89</v>
      </c>
      <c r="M137" s="9" t="s">
        <v>89</v>
      </c>
      <c r="O137" s="9" t="s">
        <v>89</v>
      </c>
    </row>
    <row r="138" spans="1:15" x14ac:dyDescent="0.25">
      <c r="A138" s="15" t="s">
        <v>28</v>
      </c>
      <c r="B138" s="9">
        <v>72</v>
      </c>
      <c r="C138" s="9" t="s">
        <v>123</v>
      </c>
      <c r="D138" s="9" t="s">
        <v>44</v>
      </c>
      <c r="E138" s="9">
        <v>44</v>
      </c>
      <c r="F138" s="14">
        <f t="shared" si="2"/>
        <v>473.6120583352278</v>
      </c>
      <c r="G138" s="15" t="s">
        <v>88</v>
      </c>
      <c r="K138" s="9">
        <v>4</v>
      </c>
      <c r="L138" s="9" t="s">
        <v>89</v>
      </c>
      <c r="M138" s="9" t="s">
        <v>89</v>
      </c>
      <c r="O138" s="9" t="s">
        <v>89</v>
      </c>
    </row>
    <row r="139" spans="1:15" x14ac:dyDescent="0.25">
      <c r="A139" s="15" t="s">
        <v>28</v>
      </c>
      <c r="B139" s="9">
        <v>73</v>
      </c>
      <c r="C139" s="9" t="s">
        <v>123</v>
      </c>
      <c r="D139" s="9" t="s">
        <v>44</v>
      </c>
      <c r="E139" s="9">
        <v>44</v>
      </c>
      <c r="F139" s="14">
        <f t="shared" si="2"/>
        <v>473.6120583352278</v>
      </c>
      <c r="G139" s="15" t="s">
        <v>88</v>
      </c>
      <c r="K139" s="9">
        <v>5</v>
      </c>
      <c r="L139" s="9" t="s">
        <v>89</v>
      </c>
      <c r="M139" s="9" t="s">
        <v>89</v>
      </c>
      <c r="O139" s="9" t="s">
        <v>89</v>
      </c>
    </row>
    <row r="140" spans="1:15" x14ac:dyDescent="0.25">
      <c r="A140" s="15" t="s">
        <v>28</v>
      </c>
      <c r="B140" s="9">
        <v>74</v>
      </c>
      <c r="C140" s="9" t="s">
        <v>123</v>
      </c>
      <c r="D140" s="9" t="s">
        <v>44</v>
      </c>
      <c r="E140" s="9">
        <v>41</v>
      </c>
      <c r="F140" s="14">
        <f t="shared" si="2"/>
        <v>441.3203270850986</v>
      </c>
      <c r="G140" s="15" t="s">
        <v>88</v>
      </c>
      <c r="K140" s="9">
        <v>6</v>
      </c>
      <c r="L140" s="9" t="s">
        <v>89</v>
      </c>
      <c r="M140" s="9" t="s">
        <v>89</v>
      </c>
      <c r="O140" s="9" t="s">
        <v>89</v>
      </c>
    </row>
    <row r="141" spans="1:15" x14ac:dyDescent="0.25">
      <c r="A141" s="15" t="s">
        <v>28</v>
      </c>
      <c r="B141" s="9">
        <v>75</v>
      </c>
      <c r="C141" s="9" t="s">
        <v>123</v>
      </c>
      <c r="D141" s="9" t="s">
        <v>44</v>
      </c>
      <c r="E141" s="9">
        <v>40</v>
      </c>
      <c r="F141" s="14">
        <f t="shared" si="2"/>
        <v>430.5564166683889</v>
      </c>
      <c r="G141" s="15" t="s">
        <v>88</v>
      </c>
      <c r="K141" s="9">
        <v>7</v>
      </c>
      <c r="L141" s="9" t="s">
        <v>89</v>
      </c>
      <c r="M141" s="9" t="s">
        <v>89</v>
      </c>
      <c r="O141" s="9" t="s">
        <v>89</v>
      </c>
    </row>
    <row r="142" spans="1:15" x14ac:dyDescent="0.25">
      <c r="A142" s="15" t="s">
        <v>28</v>
      </c>
      <c r="B142" s="9">
        <v>76</v>
      </c>
      <c r="C142" s="9" t="s">
        <v>123</v>
      </c>
      <c r="D142" s="9" t="s">
        <v>44</v>
      </c>
      <c r="E142" s="9">
        <v>39</v>
      </c>
      <c r="F142" s="14">
        <f t="shared" si="2"/>
        <v>419.7925062516792</v>
      </c>
      <c r="G142" s="15" t="s">
        <v>88</v>
      </c>
      <c r="L142" s="9" t="s">
        <v>89</v>
      </c>
      <c r="M142" s="9" t="s">
        <v>89</v>
      </c>
      <c r="O142" s="9" t="s">
        <v>89</v>
      </c>
    </row>
    <row r="143" spans="1:15" x14ac:dyDescent="0.25">
      <c r="A143" s="15" t="s">
        <v>28</v>
      </c>
      <c r="B143" s="9">
        <v>77</v>
      </c>
      <c r="C143" s="9" t="s">
        <v>123</v>
      </c>
      <c r="D143" s="9" t="s">
        <v>44</v>
      </c>
      <c r="E143" s="9">
        <v>39</v>
      </c>
      <c r="F143" s="14">
        <f t="shared" si="2"/>
        <v>419.7925062516792</v>
      </c>
      <c r="G143" s="15" t="s">
        <v>88</v>
      </c>
      <c r="K143" s="9">
        <v>9</v>
      </c>
      <c r="L143" s="9" t="s">
        <v>89</v>
      </c>
      <c r="M143" s="9" t="s">
        <v>89</v>
      </c>
      <c r="O143" s="9" t="s">
        <v>89</v>
      </c>
    </row>
    <row r="144" spans="1:15" x14ac:dyDescent="0.25">
      <c r="A144" s="15" t="s">
        <v>28</v>
      </c>
      <c r="B144" s="9">
        <v>78</v>
      </c>
      <c r="C144" s="9" t="s">
        <v>123</v>
      </c>
      <c r="D144" s="9" t="s">
        <v>44</v>
      </c>
      <c r="E144" s="9">
        <v>39</v>
      </c>
      <c r="F144" s="14">
        <f t="shared" si="2"/>
        <v>419.7925062516792</v>
      </c>
      <c r="G144" s="15" t="s">
        <v>88</v>
      </c>
      <c r="K144" s="9">
        <v>10</v>
      </c>
      <c r="L144" s="9" t="s">
        <v>89</v>
      </c>
      <c r="M144" s="9" t="s">
        <v>89</v>
      </c>
      <c r="O144" s="9" t="s">
        <v>89</v>
      </c>
    </row>
    <row r="145" spans="1:15" x14ac:dyDescent="0.25">
      <c r="A145" s="15" t="s">
        <v>28</v>
      </c>
      <c r="B145" s="9">
        <v>79</v>
      </c>
      <c r="C145" s="9" t="s">
        <v>123</v>
      </c>
      <c r="D145" s="9" t="s">
        <v>44</v>
      </c>
      <c r="E145" s="9">
        <v>38</v>
      </c>
      <c r="F145" s="14">
        <f t="shared" si="2"/>
        <v>409.02859583496945</v>
      </c>
      <c r="G145" s="15" t="s">
        <v>88</v>
      </c>
      <c r="L145" s="9" t="s">
        <v>89</v>
      </c>
      <c r="M145" s="9" t="s">
        <v>89</v>
      </c>
      <c r="O145" s="9" t="s">
        <v>89</v>
      </c>
    </row>
    <row r="146" spans="1:15" x14ac:dyDescent="0.25">
      <c r="A146" s="15" t="s">
        <v>28</v>
      </c>
      <c r="B146" s="9">
        <v>80</v>
      </c>
      <c r="C146" s="9" t="s">
        <v>123</v>
      </c>
      <c r="D146" s="9" t="s">
        <v>44</v>
      </c>
      <c r="E146" s="9">
        <v>40</v>
      </c>
      <c r="F146" s="14">
        <f t="shared" si="2"/>
        <v>430.5564166683889</v>
      </c>
      <c r="G146" s="15" t="s">
        <v>88</v>
      </c>
      <c r="K146" s="9">
        <v>11</v>
      </c>
      <c r="L146" s="9" t="s">
        <v>89</v>
      </c>
      <c r="M146" s="9" t="s">
        <v>89</v>
      </c>
      <c r="O146" s="9" t="s">
        <v>89</v>
      </c>
    </row>
    <row r="147" spans="1:15" x14ac:dyDescent="0.25">
      <c r="A147" s="15" t="s">
        <v>28</v>
      </c>
      <c r="B147" s="9">
        <v>81</v>
      </c>
      <c r="C147" s="9" t="s">
        <v>123</v>
      </c>
      <c r="D147" s="9" t="s">
        <v>44</v>
      </c>
      <c r="E147" s="9">
        <v>38</v>
      </c>
      <c r="F147" s="14">
        <f t="shared" si="2"/>
        <v>409.02859583496945</v>
      </c>
      <c r="G147" s="15" t="s">
        <v>88</v>
      </c>
      <c r="K147" s="9">
        <v>57</v>
      </c>
      <c r="L147" s="9" t="s">
        <v>89</v>
      </c>
      <c r="M147" s="9" t="s">
        <v>89</v>
      </c>
      <c r="O147" s="9" t="s">
        <v>89</v>
      </c>
    </row>
    <row r="148" spans="1:15" x14ac:dyDescent="0.25">
      <c r="A148" s="15" t="s">
        <v>28</v>
      </c>
      <c r="B148" s="9">
        <v>82</v>
      </c>
      <c r="C148" s="9" t="s">
        <v>123</v>
      </c>
      <c r="D148" s="9" t="s">
        <v>44</v>
      </c>
      <c r="E148" s="9">
        <v>39</v>
      </c>
      <c r="F148" s="14">
        <f t="shared" si="2"/>
        <v>419.7925062516792</v>
      </c>
      <c r="G148" s="15" t="s">
        <v>88</v>
      </c>
      <c r="K148" s="9">
        <v>58</v>
      </c>
      <c r="L148" s="9" t="s">
        <v>89</v>
      </c>
      <c r="M148" s="9" t="s">
        <v>89</v>
      </c>
      <c r="O148" s="9" t="s">
        <v>89</v>
      </c>
    </row>
    <row r="149" spans="1:15" x14ac:dyDescent="0.25">
      <c r="A149" s="15" t="s">
        <v>28</v>
      </c>
      <c r="B149" s="9">
        <v>83</v>
      </c>
      <c r="C149" s="9" t="s">
        <v>123</v>
      </c>
      <c r="D149" s="9" t="s">
        <v>44</v>
      </c>
      <c r="E149" s="9">
        <v>42</v>
      </c>
      <c r="F149" s="14">
        <f t="shared" si="2"/>
        <v>452.08423750180833</v>
      </c>
      <c r="G149" s="15" t="s">
        <v>88</v>
      </c>
      <c r="K149" s="9">
        <v>59</v>
      </c>
      <c r="L149" s="9" t="s">
        <v>89</v>
      </c>
      <c r="M149" s="9" t="s">
        <v>89</v>
      </c>
      <c r="O149" s="9" t="s">
        <v>89</v>
      </c>
    </row>
    <row r="150" spans="1:15" x14ac:dyDescent="0.25">
      <c r="A150" s="15" t="s">
        <v>28</v>
      </c>
      <c r="B150" s="9">
        <v>84</v>
      </c>
      <c r="C150" s="9" t="s">
        <v>123</v>
      </c>
      <c r="D150" s="9" t="s">
        <v>44</v>
      </c>
      <c r="E150" s="9">
        <v>41</v>
      </c>
      <c r="F150" s="14">
        <f t="shared" si="2"/>
        <v>441.3203270850986</v>
      </c>
      <c r="G150" s="15" t="s">
        <v>88</v>
      </c>
      <c r="K150" s="9">
        <v>60</v>
      </c>
      <c r="L150" s="9" t="s">
        <v>89</v>
      </c>
      <c r="M150" s="9" t="s">
        <v>89</v>
      </c>
      <c r="O150" s="9" t="s">
        <v>89</v>
      </c>
    </row>
    <row r="151" spans="1:15" x14ac:dyDescent="0.25">
      <c r="A151" s="15" t="s">
        <v>28</v>
      </c>
      <c r="B151" s="9">
        <v>85</v>
      </c>
      <c r="C151" s="9" t="s">
        <v>123</v>
      </c>
      <c r="D151" s="9" t="s">
        <v>44</v>
      </c>
      <c r="E151" s="9">
        <v>43</v>
      </c>
      <c r="F151" s="14">
        <f t="shared" si="2"/>
        <v>462.84814791851807</v>
      </c>
      <c r="G151" s="15" t="s">
        <v>88</v>
      </c>
      <c r="K151" s="9">
        <v>61</v>
      </c>
      <c r="L151" s="9" t="s">
        <v>89</v>
      </c>
      <c r="M151" s="9" t="s">
        <v>89</v>
      </c>
      <c r="O151" s="9" t="s">
        <v>89</v>
      </c>
    </row>
    <row r="152" spans="1:15" x14ac:dyDescent="0.25">
      <c r="A152" s="15" t="s">
        <v>28</v>
      </c>
      <c r="B152" s="9">
        <v>86</v>
      </c>
      <c r="C152" s="9" t="s">
        <v>123</v>
      </c>
      <c r="D152" s="9" t="s">
        <v>44</v>
      </c>
      <c r="E152" s="9">
        <v>43</v>
      </c>
      <c r="F152" s="14">
        <f t="shared" si="2"/>
        <v>462.84814791851807</v>
      </c>
      <c r="G152" s="15" t="s">
        <v>88</v>
      </c>
      <c r="K152" s="9">
        <v>62</v>
      </c>
      <c r="L152" s="9" t="s">
        <v>89</v>
      </c>
      <c r="M152" s="9" t="s">
        <v>89</v>
      </c>
      <c r="O152" s="9" t="s">
        <v>89</v>
      </c>
    </row>
    <row r="153" spans="1:15" x14ac:dyDescent="0.25">
      <c r="A153" s="15" t="s">
        <v>33</v>
      </c>
      <c r="B153" s="9" t="s">
        <v>86</v>
      </c>
      <c r="C153" s="9" t="s">
        <v>87</v>
      </c>
      <c r="D153" s="9" t="s">
        <v>44</v>
      </c>
      <c r="E153" s="9">
        <v>42.3</v>
      </c>
      <c r="F153" s="14">
        <f t="shared" si="2"/>
        <v>455.3134106268212</v>
      </c>
      <c r="G153" s="15" t="s">
        <v>88</v>
      </c>
      <c r="H153" s="17">
        <v>211000</v>
      </c>
      <c r="L153" s="9" t="s">
        <v>89</v>
      </c>
      <c r="M153" s="9" t="s">
        <v>89</v>
      </c>
      <c r="O153" s="9" t="s">
        <v>89</v>
      </c>
    </row>
    <row r="154" spans="1:15" x14ac:dyDescent="0.25">
      <c r="A154" s="15" t="s">
        <v>33</v>
      </c>
      <c r="B154" s="9" t="s">
        <v>91</v>
      </c>
      <c r="C154" s="9" t="s">
        <v>87</v>
      </c>
      <c r="D154" s="9" t="s">
        <v>44</v>
      </c>
      <c r="E154" s="9">
        <v>42.1</v>
      </c>
      <c r="F154" s="14">
        <f t="shared" si="2"/>
        <v>453.16062854347933</v>
      </c>
      <c r="G154" s="15" t="s">
        <v>88</v>
      </c>
      <c r="H154" s="17">
        <v>211500</v>
      </c>
      <c r="L154" s="9" t="s">
        <v>89</v>
      </c>
      <c r="M154" s="9" t="s">
        <v>89</v>
      </c>
      <c r="O154" s="9" t="s">
        <v>89</v>
      </c>
    </row>
    <row r="155" spans="1:15" x14ac:dyDescent="0.25">
      <c r="A155" s="15" t="s">
        <v>33</v>
      </c>
      <c r="B155" s="9" t="s">
        <v>92</v>
      </c>
      <c r="C155" s="9" t="s">
        <v>87</v>
      </c>
      <c r="D155" s="9" t="s">
        <v>44</v>
      </c>
      <c r="E155" s="9">
        <v>37</v>
      </c>
      <c r="F155" s="14">
        <f t="shared" si="2"/>
        <v>398.2646854182597</v>
      </c>
      <c r="G155" s="15" t="s">
        <v>88</v>
      </c>
      <c r="H155" s="17">
        <v>201000</v>
      </c>
      <c r="L155" s="9" t="s">
        <v>89</v>
      </c>
      <c r="M155" s="9" t="s">
        <v>89</v>
      </c>
      <c r="O155" s="9" t="s">
        <v>89</v>
      </c>
    </row>
    <row r="156" spans="1:15" x14ac:dyDescent="0.25">
      <c r="A156" s="15" t="s">
        <v>33</v>
      </c>
      <c r="B156" s="9" t="s">
        <v>93</v>
      </c>
      <c r="C156" s="9" t="s">
        <v>87</v>
      </c>
      <c r="D156" s="9" t="s">
        <v>49</v>
      </c>
      <c r="E156" s="9">
        <v>51.8</v>
      </c>
      <c r="F156" s="14">
        <f t="shared" si="2"/>
        <v>557.5705595855636</v>
      </c>
      <c r="G156" s="15" t="s">
        <v>88</v>
      </c>
      <c r="H156" s="17">
        <v>246000</v>
      </c>
      <c r="L156" s="9" t="s">
        <v>89</v>
      </c>
      <c r="M156" s="9" t="s">
        <v>89</v>
      </c>
      <c r="O156" s="9" t="s">
        <v>89</v>
      </c>
    </row>
    <row r="157" spans="1:15" x14ac:dyDescent="0.25">
      <c r="A157" s="15" t="s">
        <v>33</v>
      </c>
      <c r="B157" s="9" t="s">
        <v>94</v>
      </c>
      <c r="C157" s="9" t="s">
        <v>87</v>
      </c>
      <c r="D157" s="9" t="s">
        <v>49</v>
      </c>
      <c r="E157" s="9">
        <v>55.6</v>
      </c>
      <c r="F157" s="14">
        <f t="shared" si="2"/>
        <v>598.4734191690605</v>
      </c>
      <c r="G157" s="15" t="s">
        <v>88</v>
      </c>
      <c r="H157" s="17">
        <v>260000</v>
      </c>
      <c r="L157" s="9" t="s">
        <v>89</v>
      </c>
      <c r="M157" s="9" t="s">
        <v>89</v>
      </c>
      <c r="O157" s="9" t="s">
        <v>89</v>
      </c>
    </row>
    <row r="158" spans="1:15" x14ac:dyDescent="0.25">
      <c r="A158" s="15" t="s">
        <v>33</v>
      </c>
      <c r="B158" s="9" t="s">
        <v>95</v>
      </c>
      <c r="C158" s="9" t="s">
        <v>87</v>
      </c>
      <c r="D158" s="9" t="s">
        <v>49</v>
      </c>
      <c r="E158" s="9">
        <v>51.5</v>
      </c>
      <c r="F158" s="14">
        <f t="shared" si="2"/>
        <v>554.3413864605508</v>
      </c>
      <c r="G158" s="15" t="s">
        <v>88</v>
      </c>
      <c r="H158" s="17">
        <v>247500</v>
      </c>
      <c r="L158" s="9" t="s">
        <v>89</v>
      </c>
      <c r="M158" s="9" t="s">
        <v>89</v>
      </c>
      <c r="O158" s="9" t="s">
        <v>89</v>
      </c>
    </row>
    <row r="159" spans="1:15" x14ac:dyDescent="0.25">
      <c r="A159" s="15" t="s">
        <v>33</v>
      </c>
      <c r="B159" s="9" t="s">
        <v>96</v>
      </c>
      <c r="C159" s="9" t="s">
        <v>87</v>
      </c>
      <c r="D159" s="9" t="s">
        <v>49</v>
      </c>
      <c r="E159" s="9">
        <v>62.8</v>
      </c>
      <c r="F159" s="14">
        <f t="shared" si="2"/>
        <v>675.9735741693705</v>
      </c>
      <c r="G159" s="15" t="s">
        <v>88</v>
      </c>
      <c r="H159" s="17">
        <v>283000</v>
      </c>
      <c r="L159" s="9" t="s">
        <v>89</v>
      </c>
      <c r="M159" s="9" t="s">
        <v>89</v>
      </c>
      <c r="O159" s="9" t="s">
        <v>89</v>
      </c>
    </row>
    <row r="160" spans="1:15" x14ac:dyDescent="0.25">
      <c r="A160" s="15" t="s">
        <v>33</v>
      </c>
      <c r="B160" s="9" t="s">
        <v>97</v>
      </c>
      <c r="C160" s="9" t="s">
        <v>87</v>
      </c>
      <c r="D160" s="9" t="s">
        <v>49</v>
      </c>
      <c r="E160" s="9">
        <v>51</v>
      </c>
      <c r="F160" s="14">
        <f t="shared" si="2"/>
        <v>548.9594312521958</v>
      </c>
      <c r="G160" s="15" t="s">
        <v>88</v>
      </c>
      <c r="H160" s="17">
        <v>238500</v>
      </c>
      <c r="L160" s="9" t="s">
        <v>89</v>
      </c>
      <c r="M160" s="9" t="s">
        <v>45</v>
      </c>
      <c r="N160" s="9" t="s">
        <v>90</v>
      </c>
      <c r="O160" s="9" t="s">
        <v>89</v>
      </c>
    </row>
    <row r="161" spans="1:15" x14ac:dyDescent="0.25">
      <c r="A161" s="15" t="s">
        <v>33</v>
      </c>
      <c r="B161" s="9" t="s">
        <v>98</v>
      </c>
      <c r="C161" s="9" t="s">
        <v>87</v>
      </c>
      <c r="D161" s="9" t="s">
        <v>44</v>
      </c>
      <c r="E161" s="9">
        <v>45.7</v>
      </c>
      <c r="F161" s="14">
        <f t="shared" si="2"/>
        <v>491.9107060436344</v>
      </c>
      <c r="G161" s="15" t="s">
        <v>88</v>
      </c>
      <c r="H161" s="17">
        <v>229500</v>
      </c>
      <c r="L161" s="9" t="s">
        <v>89</v>
      </c>
      <c r="M161" s="9" t="s">
        <v>45</v>
      </c>
      <c r="N161" s="9" t="s">
        <v>90</v>
      </c>
      <c r="O161" s="9" t="s">
        <v>89</v>
      </c>
    </row>
    <row r="162" spans="1:15" x14ac:dyDescent="0.25">
      <c r="A162" s="15" t="s">
        <v>33</v>
      </c>
      <c r="B162" s="9" t="s">
        <v>99</v>
      </c>
      <c r="C162" s="9" t="s">
        <v>87</v>
      </c>
      <c r="D162" s="9" t="s">
        <v>44</v>
      </c>
      <c r="E162" s="9">
        <v>43.4</v>
      </c>
      <c r="F162" s="14">
        <f t="shared" si="2"/>
        <v>467.15371208520196</v>
      </c>
      <c r="G162" s="15" t="s">
        <v>88</v>
      </c>
      <c r="H162" s="17">
        <v>221000</v>
      </c>
      <c r="L162" s="9" t="s">
        <v>89</v>
      </c>
      <c r="M162" s="9" t="s">
        <v>45</v>
      </c>
      <c r="N162" s="9" t="s">
        <v>90</v>
      </c>
      <c r="O162" s="9" t="s">
        <v>89</v>
      </c>
    </row>
    <row r="163" spans="1:15" x14ac:dyDescent="0.25">
      <c r="A163" s="15" t="s">
        <v>33</v>
      </c>
      <c r="B163" s="9" t="s">
        <v>100</v>
      </c>
      <c r="C163" s="9" t="s">
        <v>87</v>
      </c>
      <c r="D163" s="9" t="s">
        <v>44</v>
      </c>
      <c r="E163" s="9">
        <v>43</v>
      </c>
      <c r="F163" s="14">
        <f t="shared" si="2"/>
        <v>462.84814791851807</v>
      </c>
      <c r="G163" s="15" t="s">
        <v>88</v>
      </c>
      <c r="H163" s="17">
        <v>218000</v>
      </c>
      <c r="L163" s="9" t="s">
        <v>89</v>
      </c>
      <c r="M163" s="9" t="s">
        <v>45</v>
      </c>
      <c r="N163" s="9" t="s">
        <v>90</v>
      </c>
      <c r="O163" s="9" t="s">
        <v>89</v>
      </c>
    </row>
    <row r="164" spans="1:15" x14ac:dyDescent="0.25">
      <c r="A164" s="15" t="s">
        <v>33</v>
      </c>
      <c r="B164" s="9" t="s">
        <v>124</v>
      </c>
      <c r="C164" s="9" t="s">
        <v>87</v>
      </c>
      <c r="D164" s="9" t="s">
        <v>49</v>
      </c>
      <c r="E164" s="9">
        <v>49</v>
      </c>
      <c r="F164" s="14">
        <f t="shared" si="2"/>
        <v>527.4316104187764</v>
      </c>
      <c r="G164" s="15" t="s">
        <v>88</v>
      </c>
      <c r="H164" s="17">
        <v>239000</v>
      </c>
      <c r="L164" s="9" t="s">
        <v>89</v>
      </c>
      <c r="M164" s="9" t="s">
        <v>89</v>
      </c>
      <c r="O164" s="9" t="s">
        <v>89</v>
      </c>
    </row>
    <row r="165" spans="1:15" x14ac:dyDescent="0.25">
      <c r="A165" s="15" t="s">
        <v>33</v>
      </c>
      <c r="B165" s="9" t="s">
        <v>125</v>
      </c>
      <c r="C165" s="9" t="s">
        <v>87</v>
      </c>
      <c r="D165" s="9" t="s">
        <v>49</v>
      </c>
      <c r="E165" s="9">
        <v>54.2</v>
      </c>
      <c r="F165" s="14">
        <f t="shared" si="2"/>
        <v>583.403944585667</v>
      </c>
      <c r="G165" s="15" t="s">
        <v>88</v>
      </c>
      <c r="H165" s="17">
        <v>271000</v>
      </c>
      <c r="L165" s="9" t="s">
        <v>89</v>
      </c>
      <c r="M165" s="9" t="s">
        <v>45</v>
      </c>
      <c r="N165" s="9" t="s">
        <v>90</v>
      </c>
      <c r="O165" s="9" t="s">
        <v>89</v>
      </c>
    </row>
    <row r="166" spans="1:15" x14ac:dyDescent="0.25">
      <c r="A166" s="15" t="s">
        <v>33</v>
      </c>
      <c r="B166" s="9" t="s">
        <v>126</v>
      </c>
      <c r="C166" s="9" t="s">
        <v>87</v>
      </c>
      <c r="D166" s="9" t="s">
        <v>44</v>
      </c>
      <c r="E166" s="9">
        <v>40.1</v>
      </c>
      <c r="F166" s="14">
        <f t="shared" si="2"/>
        <v>431.63280771005986</v>
      </c>
      <c r="G166" s="15" t="s">
        <v>88</v>
      </c>
      <c r="H166" s="17">
        <v>213500</v>
      </c>
      <c r="L166" s="9" t="s">
        <v>89</v>
      </c>
      <c r="M166" s="9" t="s">
        <v>89</v>
      </c>
      <c r="O166" s="9" t="s">
        <v>89</v>
      </c>
    </row>
    <row r="167" spans="1:15" x14ac:dyDescent="0.25">
      <c r="A167" s="15" t="s">
        <v>33</v>
      </c>
      <c r="B167" s="9" t="s">
        <v>101</v>
      </c>
      <c r="C167" s="9" t="s">
        <v>102</v>
      </c>
      <c r="D167" s="9" t="s">
        <v>52</v>
      </c>
      <c r="E167" s="9">
        <v>63</v>
      </c>
      <c r="F167" s="14">
        <f t="shared" si="2"/>
        <v>678.1263562527125</v>
      </c>
      <c r="G167" s="15" t="s">
        <v>88</v>
      </c>
      <c r="H167" s="17">
        <v>338000</v>
      </c>
      <c r="L167" s="9" t="s">
        <v>89</v>
      </c>
      <c r="M167" s="9" t="s">
        <v>89</v>
      </c>
      <c r="O167" s="9" t="s">
        <v>89</v>
      </c>
    </row>
    <row r="168" spans="1:15" x14ac:dyDescent="0.25">
      <c r="A168" s="15" t="s">
        <v>33</v>
      </c>
      <c r="B168" s="9" t="s">
        <v>103</v>
      </c>
      <c r="C168" s="9" t="s">
        <v>102</v>
      </c>
      <c r="D168" s="9" t="s">
        <v>44</v>
      </c>
      <c r="E168" s="9">
        <v>46.6</v>
      </c>
      <c r="F168" s="14">
        <f t="shared" si="2"/>
        <v>501.59822541867305</v>
      </c>
      <c r="G168" s="15" t="s">
        <v>88</v>
      </c>
      <c r="H168" s="17">
        <v>254000</v>
      </c>
      <c r="L168" s="9" t="s">
        <v>89</v>
      </c>
      <c r="M168" s="9" t="s">
        <v>89</v>
      </c>
      <c r="O168" s="9" t="s">
        <v>89</v>
      </c>
    </row>
    <row r="169" spans="1:15" x14ac:dyDescent="0.25">
      <c r="A169" s="15" t="s">
        <v>33</v>
      </c>
      <c r="B169" s="9" t="s">
        <v>104</v>
      </c>
      <c r="C169" s="9" t="s">
        <v>102</v>
      </c>
      <c r="D169" s="9" t="s">
        <v>44</v>
      </c>
      <c r="E169" s="9">
        <v>45.8</v>
      </c>
      <c r="F169" s="14">
        <f t="shared" si="2"/>
        <v>492.9870970853052</v>
      </c>
      <c r="G169" s="15" t="s">
        <v>88</v>
      </c>
      <c r="H169" s="17">
        <v>253000</v>
      </c>
      <c r="L169" s="9" t="s">
        <v>89</v>
      </c>
      <c r="M169" s="9" t="s">
        <v>89</v>
      </c>
      <c r="O169" s="9" t="s">
        <v>89</v>
      </c>
    </row>
    <row r="170" spans="1:15" x14ac:dyDescent="0.25">
      <c r="A170" s="15" t="s">
        <v>33</v>
      </c>
      <c r="B170" s="9" t="s">
        <v>105</v>
      </c>
      <c r="C170" s="9" t="s">
        <v>102</v>
      </c>
      <c r="D170" s="9" t="s">
        <v>52</v>
      </c>
      <c r="E170" s="9">
        <v>62.3</v>
      </c>
      <c r="F170" s="14">
        <f t="shared" si="2"/>
        <v>670.5916189610157</v>
      </c>
      <c r="G170" s="15" t="s">
        <v>88</v>
      </c>
      <c r="H170" s="17">
        <v>346000</v>
      </c>
      <c r="L170" s="9" t="s">
        <v>89</v>
      </c>
      <c r="M170" s="9" t="s">
        <v>89</v>
      </c>
      <c r="O170" s="9" t="s">
        <v>45</v>
      </c>
    </row>
    <row r="171" spans="1:15" x14ac:dyDescent="0.25">
      <c r="A171" s="15" t="s">
        <v>33</v>
      </c>
      <c r="B171" s="9" t="s">
        <v>106</v>
      </c>
      <c r="C171" s="9" t="s">
        <v>102</v>
      </c>
      <c r="D171" s="9" t="s">
        <v>44</v>
      </c>
      <c r="E171" s="9">
        <v>42.4</v>
      </c>
      <c r="F171" s="14">
        <f t="shared" si="2"/>
        <v>456.3898016684922</v>
      </c>
      <c r="G171" s="15" t="s">
        <v>88</v>
      </c>
      <c r="H171" s="17">
        <v>227500</v>
      </c>
      <c r="L171" s="9" t="s">
        <v>89</v>
      </c>
      <c r="M171" s="9" t="s">
        <v>89</v>
      </c>
      <c r="O171" s="9" t="s">
        <v>89</v>
      </c>
    </row>
    <row r="172" spans="1:15" x14ac:dyDescent="0.25">
      <c r="A172" s="15" t="s">
        <v>33</v>
      </c>
      <c r="B172" s="9" t="s">
        <v>107</v>
      </c>
      <c r="C172" s="9" t="s">
        <v>102</v>
      </c>
      <c r="D172" s="9" t="s">
        <v>44</v>
      </c>
      <c r="E172" s="9">
        <v>38</v>
      </c>
      <c r="F172" s="14">
        <f t="shared" si="2"/>
        <v>409.02859583496945</v>
      </c>
      <c r="G172" s="15" t="s">
        <v>88</v>
      </c>
      <c r="H172" s="17">
        <v>217000</v>
      </c>
      <c r="L172" s="9" t="s">
        <v>89</v>
      </c>
      <c r="M172" s="9" t="s">
        <v>89</v>
      </c>
      <c r="O172" s="9" t="s">
        <v>89</v>
      </c>
    </row>
    <row r="173" spans="1:15" x14ac:dyDescent="0.25">
      <c r="A173" s="15" t="s">
        <v>33</v>
      </c>
      <c r="B173" s="9" t="s">
        <v>108</v>
      </c>
      <c r="C173" s="9" t="s">
        <v>102</v>
      </c>
      <c r="D173" s="9" t="s">
        <v>49</v>
      </c>
      <c r="E173" s="9">
        <v>58.2</v>
      </c>
      <c r="F173" s="14">
        <f t="shared" si="2"/>
        <v>626.4595862525058</v>
      </c>
      <c r="G173" s="15" t="s">
        <v>88</v>
      </c>
      <c r="H173" s="17">
        <v>299500</v>
      </c>
      <c r="L173" s="9" t="s">
        <v>89</v>
      </c>
      <c r="M173" s="9" t="s">
        <v>89</v>
      </c>
      <c r="O173" s="9" t="s">
        <v>89</v>
      </c>
    </row>
    <row r="174" spans="1:15" x14ac:dyDescent="0.25">
      <c r="A174" s="15" t="s">
        <v>33</v>
      </c>
      <c r="B174" s="9" t="s">
        <v>109</v>
      </c>
      <c r="C174" s="9" t="s">
        <v>102</v>
      </c>
      <c r="D174" s="9" t="s">
        <v>44</v>
      </c>
      <c r="E174" s="9">
        <v>43.2</v>
      </c>
      <c r="F174" s="14">
        <f t="shared" si="2"/>
        <v>465.00093000186007</v>
      </c>
      <c r="G174" s="15" t="s">
        <v>88</v>
      </c>
      <c r="H174" s="17">
        <v>243500</v>
      </c>
      <c r="L174" s="9" t="s">
        <v>89</v>
      </c>
      <c r="M174" s="9" t="s">
        <v>89</v>
      </c>
      <c r="O174" s="9" t="s">
        <v>89</v>
      </c>
    </row>
    <row r="175" spans="1:15" x14ac:dyDescent="0.25">
      <c r="A175" s="15" t="s">
        <v>33</v>
      </c>
      <c r="B175" s="9" t="s">
        <v>110</v>
      </c>
      <c r="C175" s="9" t="s">
        <v>102</v>
      </c>
      <c r="D175" s="9" t="s">
        <v>49</v>
      </c>
      <c r="E175" s="9">
        <v>54</v>
      </c>
      <c r="F175" s="14">
        <f t="shared" si="2"/>
        <v>581.251162502325</v>
      </c>
      <c r="G175" s="15" t="s">
        <v>88</v>
      </c>
      <c r="H175" s="17">
        <v>284000</v>
      </c>
      <c r="L175" s="9" t="s">
        <v>89</v>
      </c>
      <c r="M175" s="9" t="s">
        <v>89</v>
      </c>
      <c r="O175" s="9" t="s">
        <v>89</v>
      </c>
    </row>
    <row r="176" spans="1:15" x14ac:dyDescent="0.25">
      <c r="A176" s="15" t="s">
        <v>33</v>
      </c>
      <c r="B176" s="9" t="s">
        <v>111</v>
      </c>
      <c r="C176" s="9" t="s">
        <v>102</v>
      </c>
      <c r="D176" s="9" t="s">
        <v>44</v>
      </c>
      <c r="E176" s="9">
        <v>45.9</v>
      </c>
      <c r="F176" s="14">
        <f t="shared" si="2"/>
        <v>494.06348812697627</v>
      </c>
      <c r="G176" s="15" t="s">
        <v>88</v>
      </c>
      <c r="H176" s="17">
        <v>259000</v>
      </c>
      <c r="L176" s="9" t="s">
        <v>89</v>
      </c>
      <c r="M176" s="9" t="s">
        <v>89</v>
      </c>
      <c r="O176" s="9" t="s">
        <v>89</v>
      </c>
    </row>
    <row r="177" spans="1:15" x14ac:dyDescent="0.25">
      <c r="A177" s="15" t="s">
        <v>33</v>
      </c>
      <c r="B177" s="9" t="s">
        <v>112</v>
      </c>
      <c r="C177" s="9" t="s">
        <v>102</v>
      </c>
      <c r="D177" s="9" t="s">
        <v>44</v>
      </c>
      <c r="E177" s="9">
        <v>42</v>
      </c>
      <c r="F177" s="14">
        <f t="shared" si="2"/>
        <v>452.08423750180833</v>
      </c>
      <c r="G177" s="15" t="s">
        <v>88</v>
      </c>
      <c r="H177" s="17">
        <v>242500</v>
      </c>
      <c r="L177" s="9" t="s">
        <v>89</v>
      </c>
      <c r="M177" s="9" t="s">
        <v>89</v>
      </c>
      <c r="O177" s="9" t="s">
        <v>89</v>
      </c>
    </row>
    <row r="178" spans="1:15" x14ac:dyDescent="0.25">
      <c r="A178" s="15" t="s">
        <v>33</v>
      </c>
      <c r="B178" s="9" t="s">
        <v>113</v>
      </c>
      <c r="C178" s="9" t="s">
        <v>102</v>
      </c>
      <c r="D178" s="9" t="s">
        <v>44</v>
      </c>
      <c r="E178" s="9">
        <v>42.2</v>
      </c>
      <c r="F178" s="14">
        <f t="shared" si="2"/>
        <v>454.23701958515034</v>
      </c>
      <c r="G178" s="15" t="s">
        <v>88</v>
      </c>
      <c r="H178" s="17">
        <v>240500</v>
      </c>
      <c r="L178" s="9" t="s">
        <v>89</v>
      </c>
      <c r="M178" s="9" t="s">
        <v>89</v>
      </c>
      <c r="O178" s="9" t="s">
        <v>89</v>
      </c>
    </row>
    <row r="179" spans="1:15" x14ac:dyDescent="0.25">
      <c r="A179" s="15" t="s">
        <v>33</v>
      </c>
      <c r="B179" s="9" t="s">
        <v>114</v>
      </c>
      <c r="C179" s="9" t="s">
        <v>102</v>
      </c>
      <c r="D179" s="9" t="s">
        <v>44</v>
      </c>
      <c r="E179" s="9">
        <v>45.9</v>
      </c>
      <c r="F179" s="14">
        <f t="shared" si="2"/>
        <v>494.06348812697627</v>
      </c>
      <c r="G179" s="15" t="s">
        <v>88</v>
      </c>
      <c r="H179" s="17">
        <v>252500</v>
      </c>
      <c r="L179" s="9" t="s">
        <v>89</v>
      </c>
      <c r="M179" s="9" t="s">
        <v>89</v>
      </c>
      <c r="O179" s="9" t="s">
        <v>89</v>
      </c>
    </row>
    <row r="180" spans="1:15" x14ac:dyDescent="0.25">
      <c r="A180" s="15" t="s">
        <v>33</v>
      </c>
      <c r="B180" s="9" t="s">
        <v>115</v>
      </c>
      <c r="C180" s="9" t="s">
        <v>102</v>
      </c>
      <c r="D180" s="9" t="s">
        <v>49</v>
      </c>
      <c r="E180" s="9">
        <v>53.8</v>
      </c>
      <c r="F180" s="14">
        <f t="shared" si="2"/>
        <v>579.0983804189831</v>
      </c>
      <c r="G180" s="15" t="s">
        <v>88</v>
      </c>
      <c r="H180" s="17">
        <v>248500</v>
      </c>
      <c r="L180" s="9" t="s">
        <v>89</v>
      </c>
      <c r="M180" s="9" t="s">
        <v>89</v>
      </c>
      <c r="O180" s="9" t="s">
        <v>89</v>
      </c>
    </row>
    <row r="181" spans="1:15" x14ac:dyDescent="0.25">
      <c r="A181" s="15" t="s">
        <v>33</v>
      </c>
      <c r="B181" s="9" t="s">
        <v>116</v>
      </c>
      <c r="C181" s="9" t="s">
        <v>102</v>
      </c>
      <c r="D181" s="9" t="s">
        <v>44</v>
      </c>
      <c r="E181" s="9">
        <v>41.4</v>
      </c>
      <c r="F181" s="14">
        <f t="shared" si="2"/>
        <v>445.6258912517825</v>
      </c>
      <c r="G181" s="15" t="s">
        <v>88</v>
      </c>
      <c r="H181" s="17">
        <v>226500</v>
      </c>
      <c r="L181" s="9" t="s">
        <v>89</v>
      </c>
      <c r="M181" s="9" t="s">
        <v>89</v>
      </c>
      <c r="O181" s="9" t="s">
        <v>89</v>
      </c>
    </row>
    <row r="182" spans="1:15" x14ac:dyDescent="0.25">
      <c r="A182" s="15" t="s">
        <v>33</v>
      </c>
      <c r="B182" s="9">
        <v>101</v>
      </c>
      <c r="C182" s="9" t="s">
        <v>117</v>
      </c>
      <c r="D182" s="9" t="s">
        <v>44</v>
      </c>
      <c r="E182" s="9">
        <v>45</v>
      </c>
      <c r="F182" s="14">
        <f t="shared" si="2"/>
        <v>484.3759687519375</v>
      </c>
      <c r="G182" s="15" t="s">
        <v>88</v>
      </c>
      <c r="H182" s="17">
        <v>274000</v>
      </c>
      <c r="L182" s="9" t="s">
        <v>89</v>
      </c>
      <c r="M182" s="9" t="s">
        <v>89</v>
      </c>
      <c r="O182" s="9" t="s">
        <v>89</v>
      </c>
    </row>
    <row r="183" spans="1:15" x14ac:dyDescent="0.25">
      <c r="A183" s="15" t="s">
        <v>33</v>
      </c>
      <c r="B183" s="9">
        <v>102</v>
      </c>
      <c r="C183" s="9" t="s">
        <v>117</v>
      </c>
      <c r="D183" s="9" t="s">
        <v>52</v>
      </c>
      <c r="E183" s="9">
        <v>63.6</v>
      </c>
      <c r="F183" s="14">
        <f t="shared" si="2"/>
        <v>684.5847025027383</v>
      </c>
      <c r="G183" s="15" t="s">
        <v>88</v>
      </c>
      <c r="H183" s="17">
        <v>353500</v>
      </c>
      <c r="L183" s="9" t="s">
        <v>89</v>
      </c>
      <c r="M183" s="9" t="s">
        <v>89</v>
      </c>
      <c r="O183" s="9" t="s">
        <v>89</v>
      </c>
    </row>
    <row r="184" spans="1:15" x14ac:dyDescent="0.25">
      <c r="A184" s="15" t="s">
        <v>33</v>
      </c>
      <c r="B184" s="9">
        <v>103</v>
      </c>
      <c r="C184" s="9" t="s">
        <v>117</v>
      </c>
      <c r="D184" s="9" t="s">
        <v>44</v>
      </c>
      <c r="E184" s="9">
        <v>45.9</v>
      </c>
      <c r="F184" s="14">
        <f t="shared" si="2"/>
        <v>494.06348812697627</v>
      </c>
      <c r="G184" s="15" t="s">
        <v>88</v>
      </c>
      <c r="H184" s="17">
        <v>277000</v>
      </c>
      <c r="L184" s="9" t="s">
        <v>89</v>
      </c>
      <c r="M184" s="9" t="s">
        <v>89</v>
      </c>
      <c r="O184" s="9" t="s">
        <v>89</v>
      </c>
    </row>
    <row r="185" spans="1:15" x14ac:dyDescent="0.25">
      <c r="A185" s="15" t="s">
        <v>33</v>
      </c>
      <c r="B185" s="9">
        <v>104</v>
      </c>
      <c r="C185" s="9" t="s">
        <v>117</v>
      </c>
      <c r="D185" s="9" t="s">
        <v>44</v>
      </c>
      <c r="E185" s="9">
        <v>48.2</v>
      </c>
      <c r="F185" s="14">
        <f t="shared" si="2"/>
        <v>518.8204820854086</v>
      </c>
      <c r="G185" s="15" t="s">
        <v>88</v>
      </c>
      <c r="H185" s="17">
        <v>287500</v>
      </c>
      <c r="L185" s="9" t="s">
        <v>89</v>
      </c>
      <c r="M185" s="9" t="s">
        <v>89</v>
      </c>
      <c r="O185" s="9" t="s">
        <v>89</v>
      </c>
    </row>
    <row r="186" spans="1:15" x14ac:dyDescent="0.25">
      <c r="A186" s="15" t="s">
        <v>33</v>
      </c>
      <c r="B186" s="9">
        <v>105</v>
      </c>
      <c r="C186" s="9" t="s">
        <v>117</v>
      </c>
      <c r="D186" s="9" t="s">
        <v>44</v>
      </c>
      <c r="E186" s="9">
        <v>40.9</v>
      </c>
      <c r="F186" s="14">
        <f t="shared" si="2"/>
        <v>440.24393604342765</v>
      </c>
      <c r="G186" s="15" t="s">
        <v>88</v>
      </c>
      <c r="H186" s="17">
        <v>252000</v>
      </c>
      <c r="L186" s="9" t="s">
        <v>89</v>
      </c>
      <c r="M186" s="9" t="s">
        <v>89</v>
      </c>
      <c r="O186" s="9" t="s">
        <v>89</v>
      </c>
    </row>
    <row r="187" spans="1:15" x14ac:dyDescent="0.25">
      <c r="A187" s="15" t="s">
        <v>33</v>
      </c>
      <c r="B187" s="9">
        <v>106</v>
      </c>
      <c r="C187" s="9" t="s">
        <v>117</v>
      </c>
      <c r="D187" s="9" t="s">
        <v>44</v>
      </c>
      <c r="E187" s="9">
        <v>45.1</v>
      </c>
      <c r="F187" s="14">
        <f t="shared" si="2"/>
        <v>485.4523597936085</v>
      </c>
      <c r="G187" s="15" t="s">
        <v>88</v>
      </c>
      <c r="H187" s="17">
        <v>275500</v>
      </c>
      <c r="L187" s="9" t="s">
        <v>89</v>
      </c>
      <c r="M187" s="9" t="s">
        <v>89</v>
      </c>
      <c r="O187" s="9" t="s">
        <v>89</v>
      </c>
    </row>
    <row r="188" spans="1:15" x14ac:dyDescent="0.25">
      <c r="A188" s="15" t="s">
        <v>33</v>
      </c>
      <c r="B188" s="9">
        <v>107</v>
      </c>
      <c r="C188" s="9" t="s">
        <v>117</v>
      </c>
      <c r="D188" s="9" t="s">
        <v>44</v>
      </c>
      <c r="E188" s="9">
        <v>44.5</v>
      </c>
      <c r="F188" s="14">
        <f t="shared" si="2"/>
        <v>478.99401354358264</v>
      </c>
      <c r="G188" s="15" t="s">
        <v>88</v>
      </c>
      <c r="H188" s="17">
        <v>271500</v>
      </c>
      <c r="L188" s="9" t="s">
        <v>89</v>
      </c>
      <c r="M188" s="9" t="s">
        <v>89</v>
      </c>
      <c r="O188" s="9" t="s">
        <v>89</v>
      </c>
    </row>
    <row r="189" spans="1:15" x14ac:dyDescent="0.25">
      <c r="A189" s="15" t="s">
        <v>33</v>
      </c>
      <c r="B189" s="9">
        <v>108</v>
      </c>
      <c r="C189" s="9" t="s">
        <v>117</v>
      </c>
      <c r="D189" s="9" t="s">
        <v>49</v>
      </c>
      <c r="E189" s="9">
        <v>53.9</v>
      </c>
      <c r="F189" s="14">
        <f t="shared" si="2"/>
        <v>580.174771460654</v>
      </c>
      <c r="G189" s="15" t="s">
        <v>88</v>
      </c>
      <c r="H189" s="17">
        <v>299500</v>
      </c>
      <c r="L189" s="9" t="s">
        <v>89</v>
      </c>
      <c r="M189" s="9" t="s">
        <v>89</v>
      </c>
      <c r="O189" s="9" t="s">
        <v>89</v>
      </c>
    </row>
    <row r="190" spans="1:15" x14ac:dyDescent="0.25">
      <c r="A190" s="15" t="s">
        <v>33</v>
      </c>
      <c r="B190" s="9">
        <v>109</v>
      </c>
      <c r="C190" s="9" t="s">
        <v>117</v>
      </c>
      <c r="D190" s="9" t="s">
        <v>52</v>
      </c>
      <c r="E190" s="9">
        <v>65.5</v>
      </c>
      <c r="F190" s="14">
        <f t="shared" si="2"/>
        <v>705.0361322944868</v>
      </c>
      <c r="G190" s="15" t="s">
        <v>88</v>
      </c>
      <c r="H190" s="17">
        <v>360000</v>
      </c>
      <c r="L190" s="9" t="s">
        <v>89</v>
      </c>
      <c r="M190" s="9" t="s">
        <v>89</v>
      </c>
      <c r="O190" s="9" t="s">
        <v>89</v>
      </c>
    </row>
    <row r="191" spans="1:15" x14ac:dyDescent="0.25">
      <c r="A191" s="15" t="s">
        <v>33</v>
      </c>
      <c r="B191" s="9">
        <v>110</v>
      </c>
      <c r="C191" s="9" t="s">
        <v>117</v>
      </c>
      <c r="D191" s="9" t="s">
        <v>44</v>
      </c>
      <c r="E191" s="9">
        <v>45</v>
      </c>
      <c r="F191" s="14">
        <f t="shared" si="2"/>
        <v>484.3759687519375</v>
      </c>
      <c r="G191" s="15" t="s">
        <v>88</v>
      </c>
      <c r="H191" s="17">
        <v>270000</v>
      </c>
      <c r="L191" s="9" t="s">
        <v>89</v>
      </c>
      <c r="M191" s="9" t="s">
        <v>89</v>
      </c>
      <c r="O191" s="9" t="s">
        <v>89</v>
      </c>
    </row>
    <row r="192" spans="1:15" x14ac:dyDescent="0.25">
      <c r="A192" s="15" t="s">
        <v>33</v>
      </c>
      <c r="B192" s="9">
        <v>111</v>
      </c>
      <c r="C192" s="9" t="s">
        <v>117</v>
      </c>
      <c r="D192" s="9" t="s">
        <v>44</v>
      </c>
      <c r="E192" s="9">
        <v>42.9</v>
      </c>
      <c r="F192" s="14">
        <f t="shared" si="2"/>
        <v>461.77175687684706</v>
      </c>
      <c r="G192" s="15" t="s">
        <v>88</v>
      </c>
      <c r="H192" s="17">
        <v>262500</v>
      </c>
      <c r="L192" s="9" t="s">
        <v>89</v>
      </c>
      <c r="M192" s="9" t="s">
        <v>89</v>
      </c>
      <c r="O192" s="9" t="s">
        <v>89</v>
      </c>
    </row>
    <row r="193" spans="1:15" x14ac:dyDescent="0.25">
      <c r="A193" s="15" t="s">
        <v>33</v>
      </c>
      <c r="B193" s="9">
        <v>112</v>
      </c>
      <c r="C193" s="9" t="s">
        <v>117</v>
      </c>
      <c r="D193" s="9" t="s">
        <v>44</v>
      </c>
      <c r="E193" s="9">
        <v>42.5</v>
      </c>
      <c r="F193" s="14">
        <f t="shared" si="2"/>
        <v>457.46619271016317</v>
      </c>
      <c r="G193" s="15" t="s">
        <v>88</v>
      </c>
      <c r="H193" s="17">
        <v>259500</v>
      </c>
      <c r="L193" s="9" t="s">
        <v>89</v>
      </c>
      <c r="M193" s="9" t="s">
        <v>89</v>
      </c>
      <c r="O193" s="9" t="s">
        <v>89</v>
      </c>
    </row>
    <row r="194" spans="1:15" x14ac:dyDescent="0.25">
      <c r="A194" s="15" t="s">
        <v>33</v>
      </c>
      <c r="B194" s="9">
        <v>113</v>
      </c>
      <c r="C194" s="9" t="s">
        <v>117</v>
      </c>
      <c r="D194" s="9" t="s">
        <v>44</v>
      </c>
      <c r="E194" s="9">
        <v>45.2</v>
      </c>
      <c r="F194" s="14">
        <f t="shared" si="2"/>
        <v>486.5287508352795</v>
      </c>
      <c r="G194" s="15" t="s">
        <v>88</v>
      </c>
      <c r="H194" s="17">
        <v>273000</v>
      </c>
      <c r="L194" s="9" t="s">
        <v>89</v>
      </c>
      <c r="M194" s="9" t="s">
        <v>89</v>
      </c>
      <c r="O194" s="9" t="s">
        <v>89</v>
      </c>
    </row>
    <row r="195" spans="1:15" x14ac:dyDescent="0.25">
      <c r="A195" s="15" t="s">
        <v>33</v>
      </c>
      <c r="B195" s="9">
        <v>201</v>
      </c>
      <c r="C195" s="9" t="s">
        <v>118</v>
      </c>
      <c r="D195" s="9" t="s">
        <v>52</v>
      </c>
      <c r="E195" s="9">
        <v>62.5</v>
      </c>
      <c r="F195" s="14">
        <f t="shared" si="2"/>
        <v>672.7444010443576</v>
      </c>
      <c r="G195" s="15" t="s">
        <v>88</v>
      </c>
      <c r="H195" s="17">
        <v>353000</v>
      </c>
      <c r="L195" s="9" t="s">
        <v>89</v>
      </c>
      <c r="M195" s="9" t="s">
        <v>89</v>
      </c>
      <c r="O195" s="9" t="s">
        <v>89</v>
      </c>
    </row>
    <row r="196" spans="1:15" x14ac:dyDescent="0.25">
      <c r="A196" s="15" t="s">
        <v>33</v>
      </c>
      <c r="B196" s="9">
        <v>202</v>
      </c>
      <c r="C196" s="9" t="s">
        <v>118</v>
      </c>
      <c r="D196" s="9" t="s">
        <v>44</v>
      </c>
      <c r="E196" s="9">
        <v>47</v>
      </c>
      <c r="F196" s="14">
        <f t="shared" si="2"/>
        <v>505.90378958535695</v>
      </c>
      <c r="G196" s="15" t="s">
        <v>88</v>
      </c>
      <c r="H196" s="17">
        <v>285500</v>
      </c>
      <c r="L196" s="9" t="s">
        <v>89</v>
      </c>
      <c r="M196" s="9" t="s">
        <v>89</v>
      </c>
      <c r="O196" s="9" t="s">
        <v>89</v>
      </c>
    </row>
    <row r="197" spans="1:15" x14ac:dyDescent="0.25">
      <c r="A197" s="15" t="s">
        <v>33</v>
      </c>
      <c r="B197" s="9">
        <v>203</v>
      </c>
      <c r="C197" s="9" t="s">
        <v>118</v>
      </c>
      <c r="D197" s="9" t="s">
        <v>44</v>
      </c>
      <c r="E197" s="9">
        <v>48.9</v>
      </c>
      <c r="F197" s="14">
        <f t="shared" ref="F197:F216" si="3">CONVERT(E197,"m^2","ft^2")</f>
        <v>526.3552193771054</v>
      </c>
      <c r="G197" s="15" t="s">
        <v>88</v>
      </c>
      <c r="H197" s="17">
        <v>293500</v>
      </c>
      <c r="L197" s="9" t="s">
        <v>89</v>
      </c>
      <c r="M197" s="9" t="s">
        <v>89</v>
      </c>
      <c r="O197" s="9" t="s">
        <v>89</v>
      </c>
    </row>
    <row r="198" spans="1:15" x14ac:dyDescent="0.25">
      <c r="A198" s="15" t="s">
        <v>33</v>
      </c>
      <c r="B198" s="9">
        <v>204</v>
      </c>
      <c r="C198" s="9" t="s">
        <v>118</v>
      </c>
      <c r="D198" s="9" t="s">
        <v>44</v>
      </c>
      <c r="E198" s="9">
        <v>42.2</v>
      </c>
      <c r="F198" s="14">
        <f t="shared" si="3"/>
        <v>454.23701958515034</v>
      </c>
      <c r="G198" s="15" t="s">
        <v>88</v>
      </c>
      <c r="H198" s="17">
        <v>253500</v>
      </c>
      <c r="L198" s="9" t="s">
        <v>89</v>
      </c>
      <c r="M198" s="9" t="s">
        <v>89</v>
      </c>
      <c r="O198" s="9" t="s">
        <v>89</v>
      </c>
    </row>
    <row r="199" spans="1:15" x14ac:dyDescent="0.25">
      <c r="A199" s="15" t="s">
        <v>33</v>
      </c>
      <c r="B199" s="9">
        <v>205</v>
      </c>
      <c r="C199" s="9" t="s">
        <v>118</v>
      </c>
      <c r="D199" s="9" t="s">
        <v>44</v>
      </c>
      <c r="E199" s="9">
        <v>47.8</v>
      </c>
      <c r="F199" s="14">
        <f t="shared" si="3"/>
        <v>514.5149179187247</v>
      </c>
      <c r="G199" s="15" t="s">
        <v>88</v>
      </c>
      <c r="H199" s="17">
        <v>281500</v>
      </c>
      <c r="L199" s="9" t="s">
        <v>89</v>
      </c>
      <c r="M199" s="9" t="s">
        <v>89</v>
      </c>
      <c r="O199" s="9" t="s">
        <v>89</v>
      </c>
    </row>
    <row r="200" spans="1:15" x14ac:dyDescent="0.25">
      <c r="A200" s="15" t="s">
        <v>33</v>
      </c>
      <c r="B200" s="9">
        <v>206</v>
      </c>
      <c r="C200" s="9" t="s">
        <v>118</v>
      </c>
      <c r="D200" s="9" t="s">
        <v>44</v>
      </c>
      <c r="E200" s="9">
        <v>46.7</v>
      </c>
      <c r="F200" s="14">
        <f t="shared" si="3"/>
        <v>502.6746164603441</v>
      </c>
      <c r="G200" s="15" t="s">
        <v>88</v>
      </c>
      <c r="H200" s="17">
        <v>281000</v>
      </c>
      <c r="L200" s="9" t="s">
        <v>89</v>
      </c>
      <c r="M200" s="9" t="s">
        <v>89</v>
      </c>
      <c r="O200" s="9" t="s">
        <v>89</v>
      </c>
    </row>
    <row r="201" spans="1:15" x14ac:dyDescent="0.25">
      <c r="A201" s="15" t="s">
        <v>33</v>
      </c>
      <c r="B201" s="9">
        <v>207</v>
      </c>
      <c r="C201" s="9" t="s">
        <v>118</v>
      </c>
      <c r="D201" s="9" t="s">
        <v>49</v>
      </c>
      <c r="E201" s="9">
        <v>54.3</v>
      </c>
      <c r="F201" s="14">
        <f t="shared" si="3"/>
        <v>584.4803356273378</v>
      </c>
      <c r="G201" s="15" t="s">
        <v>88</v>
      </c>
      <c r="H201" s="17">
        <v>299500</v>
      </c>
      <c r="L201" s="9" t="s">
        <v>89</v>
      </c>
      <c r="M201" s="9" t="s">
        <v>89</v>
      </c>
      <c r="O201" s="9" t="s">
        <v>89</v>
      </c>
    </row>
    <row r="202" spans="1:15" x14ac:dyDescent="0.25">
      <c r="A202" s="15" t="s">
        <v>33</v>
      </c>
      <c r="B202" s="9">
        <v>208</v>
      </c>
      <c r="C202" s="9" t="s">
        <v>118</v>
      </c>
      <c r="D202" s="9" t="s">
        <v>52</v>
      </c>
      <c r="E202" s="9">
        <v>65.4</v>
      </c>
      <c r="F202" s="14">
        <f t="shared" si="3"/>
        <v>703.959741252816</v>
      </c>
      <c r="G202" s="15" t="s">
        <v>88</v>
      </c>
      <c r="H202" s="17">
        <v>361500</v>
      </c>
      <c r="L202" s="9" t="s">
        <v>89</v>
      </c>
      <c r="M202" s="9" t="s">
        <v>89</v>
      </c>
      <c r="O202" s="9" t="s">
        <v>89</v>
      </c>
    </row>
    <row r="203" spans="1:15" x14ac:dyDescent="0.25">
      <c r="A203" s="15" t="s">
        <v>33</v>
      </c>
      <c r="B203" s="9">
        <v>209</v>
      </c>
      <c r="C203" s="9" t="s">
        <v>118</v>
      </c>
      <c r="D203" s="9" t="s">
        <v>44</v>
      </c>
      <c r="E203" s="9">
        <v>44.9</v>
      </c>
      <c r="F203" s="14">
        <f t="shared" si="3"/>
        <v>483.29957771026653</v>
      </c>
      <c r="G203" s="15" t="s">
        <v>88</v>
      </c>
      <c r="H203" s="17">
        <v>269000</v>
      </c>
      <c r="L203" s="9" t="s">
        <v>89</v>
      </c>
      <c r="M203" s="9" t="s">
        <v>89</v>
      </c>
      <c r="O203" s="9" t="s">
        <v>89</v>
      </c>
    </row>
    <row r="204" spans="1:15" x14ac:dyDescent="0.25">
      <c r="A204" s="15" t="s">
        <v>33</v>
      </c>
      <c r="B204" s="9">
        <v>210</v>
      </c>
      <c r="C204" s="9" t="s">
        <v>118</v>
      </c>
      <c r="D204" s="9" t="s">
        <v>44</v>
      </c>
      <c r="E204" s="9">
        <v>43</v>
      </c>
      <c r="F204" s="14">
        <f t="shared" si="3"/>
        <v>462.84814791851807</v>
      </c>
      <c r="G204" s="15" t="s">
        <v>88</v>
      </c>
      <c r="H204" s="17">
        <v>257000</v>
      </c>
      <c r="L204" s="9" t="s">
        <v>89</v>
      </c>
      <c r="M204" s="9" t="s">
        <v>89</v>
      </c>
      <c r="O204" s="9" t="s">
        <v>89</v>
      </c>
    </row>
    <row r="205" spans="1:15" x14ac:dyDescent="0.25">
      <c r="A205" s="15" t="s">
        <v>33</v>
      </c>
      <c r="B205" s="9">
        <v>211</v>
      </c>
      <c r="C205" s="9" t="s">
        <v>118</v>
      </c>
      <c r="D205" s="9" t="s">
        <v>44</v>
      </c>
      <c r="E205" s="9">
        <v>42.7</v>
      </c>
      <c r="F205" s="14">
        <f t="shared" si="3"/>
        <v>459.6189747935052</v>
      </c>
      <c r="G205" s="15" t="s">
        <v>88</v>
      </c>
      <c r="H205" s="17">
        <v>257000</v>
      </c>
      <c r="L205" s="9" t="s">
        <v>89</v>
      </c>
      <c r="M205" s="9" t="s">
        <v>89</v>
      </c>
      <c r="O205" s="9" t="s">
        <v>89</v>
      </c>
    </row>
    <row r="206" spans="1:15" x14ac:dyDescent="0.25">
      <c r="A206" s="15" t="s">
        <v>33</v>
      </c>
      <c r="B206" s="9">
        <v>212</v>
      </c>
      <c r="C206" s="9" t="s">
        <v>118</v>
      </c>
      <c r="D206" s="9" t="s">
        <v>44</v>
      </c>
      <c r="E206" s="9">
        <v>45.5</v>
      </c>
      <c r="F206" s="14">
        <f t="shared" si="3"/>
        <v>489.7579239602924</v>
      </c>
      <c r="G206" s="15" t="s">
        <v>88</v>
      </c>
      <c r="H206" s="17">
        <v>285500</v>
      </c>
      <c r="L206" s="9" t="s">
        <v>89</v>
      </c>
      <c r="M206" s="9" t="s">
        <v>89</v>
      </c>
      <c r="O206" s="9" t="s">
        <v>89</v>
      </c>
    </row>
    <row r="207" spans="1:15" x14ac:dyDescent="0.25">
      <c r="A207" s="15" t="s">
        <v>33</v>
      </c>
      <c r="B207" s="9">
        <v>213</v>
      </c>
      <c r="C207" s="9" t="s">
        <v>118</v>
      </c>
      <c r="D207" s="9" t="s">
        <v>44</v>
      </c>
      <c r="E207" s="9">
        <v>44.2</v>
      </c>
      <c r="F207" s="14">
        <f t="shared" si="3"/>
        <v>475.7648404185698</v>
      </c>
      <c r="G207" s="15" t="s">
        <v>88</v>
      </c>
      <c r="L207" s="9" t="s">
        <v>89</v>
      </c>
      <c r="M207" s="9" t="s">
        <v>89</v>
      </c>
      <c r="O207" s="9" t="s">
        <v>89</v>
      </c>
    </row>
    <row r="208" spans="1:15" x14ac:dyDescent="0.25">
      <c r="A208" s="15" t="s">
        <v>33</v>
      </c>
      <c r="B208" s="9">
        <v>301</v>
      </c>
      <c r="C208" s="9" t="s">
        <v>119</v>
      </c>
      <c r="D208" s="9" t="s">
        <v>44</v>
      </c>
      <c r="E208" s="9">
        <v>54.8</v>
      </c>
      <c r="F208" s="14">
        <f t="shared" si="3"/>
        <v>589.8622908356928</v>
      </c>
      <c r="G208" s="15" t="s">
        <v>88</v>
      </c>
      <c r="H208" s="17">
        <v>298500</v>
      </c>
      <c r="L208" s="9" t="s">
        <v>89</v>
      </c>
      <c r="M208" s="9" t="s">
        <v>45</v>
      </c>
      <c r="N208" s="9" t="s">
        <v>127</v>
      </c>
      <c r="O208" s="9" t="s">
        <v>89</v>
      </c>
    </row>
    <row r="209" spans="1:15" x14ac:dyDescent="0.25">
      <c r="A209" s="15" t="s">
        <v>33</v>
      </c>
      <c r="B209" s="9">
        <v>302</v>
      </c>
      <c r="C209" s="9" t="s">
        <v>119</v>
      </c>
      <c r="D209" s="9" t="s">
        <v>44</v>
      </c>
      <c r="E209" s="9">
        <v>50.1</v>
      </c>
      <c r="F209" s="14">
        <f t="shared" si="3"/>
        <v>539.2719118771571</v>
      </c>
      <c r="G209" s="15" t="s">
        <v>88</v>
      </c>
      <c r="H209" s="17">
        <v>286000</v>
      </c>
      <c r="L209" s="9" t="s">
        <v>89</v>
      </c>
      <c r="M209" s="9" t="s">
        <v>89</v>
      </c>
      <c r="O209" s="9" t="s">
        <v>45</v>
      </c>
    </row>
    <row r="210" spans="1:15" x14ac:dyDescent="0.25">
      <c r="A210" s="15" t="s">
        <v>33</v>
      </c>
      <c r="B210" s="9">
        <v>303</v>
      </c>
      <c r="C210" s="9" t="s">
        <v>119</v>
      </c>
      <c r="D210" s="9" t="s">
        <v>49</v>
      </c>
      <c r="E210" s="9">
        <v>49.3</v>
      </c>
      <c r="F210" s="14">
        <f t="shared" si="3"/>
        <v>530.6607835437893</v>
      </c>
      <c r="G210" s="15" t="s">
        <v>88</v>
      </c>
      <c r="H210" s="17">
        <v>279000</v>
      </c>
      <c r="L210" s="9" t="s">
        <v>89</v>
      </c>
      <c r="M210" s="9" t="s">
        <v>89</v>
      </c>
      <c r="O210" s="9" t="s">
        <v>89</v>
      </c>
    </row>
    <row r="211" spans="1:15" x14ac:dyDescent="0.25">
      <c r="A211" s="15" t="s">
        <v>33</v>
      </c>
      <c r="B211" s="9">
        <v>304</v>
      </c>
      <c r="C211" s="9" t="s">
        <v>119</v>
      </c>
      <c r="D211" s="9" t="s">
        <v>44</v>
      </c>
      <c r="E211" s="9">
        <v>47.1</v>
      </c>
      <c r="F211" s="14">
        <f t="shared" si="3"/>
        <v>506.98018062702795</v>
      </c>
      <c r="G211" s="15" t="s">
        <v>88</v>
      </c>
      <c r="H211" s="17">
        <v>276000</v>
      </c>
      <c r="L211" s="9" t="s">
        <v>89</v>
      </c>
      <c r="M211" s="9" t="s">
        <v>89</v>
      </c>
      <c r="O211" s="9" t="s">
        <v>89</v>
      </c>
    </row>
    <row r="212" spans="1:15" x14ac:dyDescent="0.25">
      <c r="A212" s="15" t="s">
        <v>33</v>
      </c>
      <c r="B212" s="9">
        <v>305</v>
      </c>
      <c r="C212" s="9" t="s">
        <v>119</v>
      </c>
      <c r="D212" s="9" t="s">
        <v>44</v>
      </c>
      <c r="E212" s="9">
        <v>49.3</v>
      </c>
      <c r="F212" s="14">
        <f t="shared" si="3"/>
        <v>530.6607835437893</v>
      </c>
      <c r="G212" s="15" t="s">
        <v>88</v>
      </c>
      <c r="H212" s="17">
        <v>286500</v>
      </c>
      <c r="L212" s="9" t="s">
        <v>89</v>
      </c>
      <c r="M212" s="9" t="s">
        <v>89</v>
      </c>
      <c r="O212" s="9" t="s">
        <v>89</v>
      </c>
    </row>
    <row r="213" spans="1:15" x14ac:dyDescent="0.25">
      <c r="A213" s="15" t="s">
        <v>33</v>
      </c>
      <c r="B213" s="9">
        <v>306</v>
      </c>
      <c r="C213" s="9" t="s">
        <v>119</v>
      </c>
      <c r="D213" s="9" t="s">
        <v>44</v>
      </c>
      <c r="E213" s="9">
        <v>43.2</v>
      </c>
      <c r="F213" s="14">
        <f t="shared" si="3"/>
        <v>465.00093000186007</v>
      </c>
      <c r="G213" s="15" t="s">
        <v>88</v>
      </c>
      <c r="L213" s="9" t="s">
        <v>89</v>
      </c>
      <c r="M213" s="9" t="s">
        <v>89</v>
      </c>
      <c r="O213" s="9" t="s">
        <v>89</v>
      </c>
    </row>
    <row r="214" spans="1:15" x14ac:dyDescent="0.25">
      <c r="A214" s="15" t="s">
        <v>33</v>
      </c>
      <c r="B214" s="9">
        <v>307</v>
      </c>
      <c r="C214" s="9" t="s">
        <v>119</v>
      </c>
      <c r="D214" s="9" t="s">
        <v>44</v>
      </c>
      <c r="E214" s="9">
        <v>41.5</v>
      </c>
      <c r="F214" s="14">
        <f t="shared" si="3"/>
        <v>446.7022822934535</v>
      </c>
      <c r="G214" s="15" t="s">
        <v>88</v>
      </c>
      <c r="L214" s="9" t="s">
        <v>89</v>
      </c>
      <c r="M214" s="9" t="s">
        <v>89</v>
      </c>
      <c r="O214" s="9" t="s">
        <v>89</v>
      </c>
    </row>
    <row r="215" spans="1:15" x14ac:dyDescent="0.25">
      <c r="A215" s="15" t="s">
        <v>33</v>
      </c>
      <c r="B215" s="9">
        <v>308</v>
      </c>
      <c r="C215" s="9" t="s">
        <v>119</v>
      </c>
      <c r="D215" s="9" t="s">
        <v>44</v>
      </c>
      <c r="E215" s="9">
        <v>41.5</v>
      </c>
      <c r="F215" s="14">
        <f t="shared" si="3"/>
        <v>446.7022822934535</v>
      </c>
      <c r="G215" s="15" t="s">
        <v>88</v>
      </c>
      <c r="L215" s="9" t="s">
        <v>89</v>
      </c>
      <c r="M215" s="9" t="s">
        <v>89</v>
      </c>
      <c r="O215" s="9" t="s">
        <v>89</v>
      </c>
    </row>
    <row r="216" spans="1:15" x14ac:dyDescent="0.25">
      <c r="A216" s="15" t="s">
        <v>33</v>
      </c>
      <c r="B216" s="9">
        <v>309</v>
      </c>
      <c r="C216" s="9" t="s">
        <v>119</v>
      </c>
      <c r="D216" s="9" t="s">
        <v>44</v>
      </c>
      <c r="E216" s="9">
        <v>43.2</v>
      </c>
      <c r="F216" s="14">
        <f t="shared" si="3"/>
        <v>465.00093000186007</v>
      </c>
      <c r="G216" s="15" t="s">
        <v>88</v>
      </c>
      <c r="L216" s="9" t="s">
        <v>89</v>
      </c>
      <c r="M216" s="9" t="s">
        <v>89</v>
      </c>
      <c r="O216" s="9" t="s">
        <v>89</v>
      </c>
    </row>
  </sheetData>
  <autoFilter ref="A3:Q152"/>
  <mergeCells count="1">
    <mergeCell ref="A1:Q1"/>
  </mergeCells>
  <conditionalFormatting sqref="E1:E1048576">
    <cfRule type="cellIs" dxfId="0" priority="1" operator="greaterThan">
      <formula>48</formula>
    </cfRule>
  </conditionalFormatting>
  <dataValidations count="10">
    <dataValidation type="list" sqref="D10:D997">
      <formula1>"Studio,1-bed,1-bed + study,2-bed"</formula1>
    </dataValidation>
    <dataValidation type="list" sqref="D4:D997">
      <formula1>"Studio,1-bed,1-bed + study,2-bed"</formula1>
    </dataValidation>
    <dataValidation type="list" sqref="G10:G997">
      <formula1>"for_sale,reserved,exchanged,completed,handed_over"</formula1>
    </dataValidation>
    <dataValidation type="list" sqref="G4:G997">
      <formula1>"for_sale,reserved,exchanged,completed,handed_over"</formula1>
    </dataValidation>
    <dataValidation sqref="H10:H1048576"/>
    <dataValidation sqref="H4:H1048576"/>
    <dataValidation type="list" sqref="L10:M997">
      <formula1>"yes,no"</formula1>
    </dataValidation>
    <dataValidation type="list" sqref="L4:M997">
      <formula1>"yes,no"</formula1>
    </dataValidation>
    <dataValidation type="list" sqref="P10:P997">
      <formula1>"yes,no"</formula1>
    </dataValidation>
    <dataValidation type="list" sqref="P4:P997">
      <formula1>"yes,no"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 showGridLines="0" zoomScale="100" zoomScaleNormal="100">
      <selection activeCell="C12" sqref="C12"/>
    </sheetView>
  </sheetViews>
  <sheetFormatPr defaultRowHeight="14.25" outlineLevelRow="0" outlineLevelCol="0" x14ac:dyDescent="0" customHeight="1"/>
  <cols>
    <col min="1" max="1" width="17" customWidth="1"/>
    <col min="2" max="2" width="15" customWidth="1"/>
    <col min="3" max="4" width="14" customWidth="1"/>
    <col min="5" max="5" width="20" customWidth="1"/>
    <col min="6" max="6" width="34" customWidth="1"/>
  </cols>
  <sheetData>
    <row r="1" ht="51" customHeight="1" spans="1:6" x14ac:dyDescent="0.25">
      <c r="A1" s="3" t="s">
        <v>128</v>
      </c>
      <c r="B1" s="4"/>
      <c r="C1" s="4"/>
      <c r="D1" s="4"/>
      <c r="E1" s="4"/>
      <c r="F1" s="4"/>
    </row>
    <row r="3" ht="15" customHeight="1" spans="1:6" x14ac:dyDescent="0.25">
      <c r="A3" s="6" t="s">
        <v>11</v>
      </c>
      <c r="B3" s="6" t="s">
        <v>73</v>
      </c>
      <c r="C3" s="6" t="s">
        <v>129</v>
      </c>
      <c r="D3" s="6" t="s">
        <v>56</v>
      </c>
      <c r="E3" s="6" t="s">
        <v>57</v>
      </c>
      <c r="F3" s="6" t="s">
        <v>20</v>
      </c>
    </row>
    <row r="4" spans="1:6" x14ac:dyDescent="0.25">
      <c r="A4" s="7" t="s">
        <v>21</v>
      </c>
      <c r="B4" s="7" t="s">
        <v>130</v>
      </c>
      <c r="C4" s="7" t="s">
        <v>131</v>
      </c>
      <c r="D4" s="7">
        <v>10</v>
      </c>
      <c r="E4" s="7" t="s">
        <v>60</v>
      </c>
      <c r="F4" s="7" t="s">
        <v>132</v>
      </c>
    </row>
    <row r="5" spans="1:6" x14ac:dyDescent="0.25">
      <c r="A5" s="7" t="s">
        <v>21</v>
      </c>
      <c r="B5" s="7" t="s">
        <v>130</v>
      </c>
      <c r="C5" s="7" t="s">
        <v>131</v>
      </c>
      <c r="D5" s="7">
        <v>20</v>
      </c>
      <c r="E5" s="7" t="s">
        <v>63</v>
      </c>
      <c r="F5" s="7" t="s">
        <v>132</v>
      </c>
    </row>
    <row r="6" spans="1:6" x14ac:dyDescent="0.25">
      <c r="A6" s="7" t="s">
        <v>21</v>
      </c>
      <c r="B6" s="7" t="s">
        <v>130</v>
      </c>
      <c r="C6" s="7" t="s">
        <v>131</v>
      </c>
      <c r="D6" s="7">
        <v>30</v>
      </c>
      <c r="E6" s="7" t="s">
        <v>64</v>
      </c>
      <c r="F6" s="7" t="s">
        <v>132</v>
      </c>
    </row>
    <row r="7" spans="1:6" x14ac:dyDescent="0.25">
      <c r="A7" s="7" t="s">
        <v>21</v>
      </c>
      <c r="B7" s="7" t="s">
        <v>130</v>
      </c>
      <c r="C7" s="7" t="s">
        <v>131</v>
      </c>
      <c r="D7" s="7">
        <v>40</v>
      </c>
      <c r="E7" s="7" t="s">
        <v>65</v>
      </c>
      <c r="F7" s="7" t="s">
        <v>132</v>
      </c>
    </row>
    <row r="8" spans="1:6" x14ac:dyDescent="0.25">
      <c r="A8" s="7" t="s">
        <v>21</v>
      </c>
      <c r="B8" s="7" t="s">
        <v>130</v>
      </c>
      <c r="C8" s="7" t="s">
        <v>131</v>
      </c>
      <c r="D8" s="7">
        <v>50</v>
      </c>
      <c r="E8" s="7" t="s">
        <v>70</v>
      </c>
      <c r="F8" s="7" t="s">
        <v>132</v>
      </c>
    </row>
    <row r="9" spans="1:6" x14ac:dyDescent="0.25">
      <c r="A9" s="7" t="s">
        <v>21</v>
      </c>
      <c r="B9" s="7" t="s">
        <v>130</v>
      </c>
      <c r="C9" s="7" t="s">
        <v>131</v>
      </c>
      <c r="D9" s="7">
        <v>60</v>
      </c>
      <c r="E9" s="7" t="s">
        <v>72</v>
      </c>
      <c r="F9" s="7" t="s">
        <v>132</v>
      </c>
    </row>
    <row r="10" spans="1:6" x14ac:dyDescent="0.25">
      <c r="A10" s="7" t="s">
        <v>21</v>
      </c>
      <c r="B10" s="7" t="s">
        <v>130</v>
      </c>
      <c r="C10" s="7" t="s">
        <v>133</v>
      </c>
      <c r="D10" s="7">
        <v>70</v>
      </c>
      <c r="E10" s="7" t="s">
        <v>134</v>
      </c>
      <c r="F10" s="7" t="s">
        <v>135</v>
      </c>
    </row>
    <row r="11" spans="1:6" x14ac:dyDescent="0.25">
      <c r="A11" s="7" t="s">
        <v>21</v>
      </c>
      <c r="B11" s="7" t="s">
        <v>130</v>
      </c>
      <c r="C11" s="7" t="s">
        <v>133</v>
      </c>
      <c r="D11" s="7">
        <v>80</v>
      </c>
      <c r="E11" s="7" t="s">
        <v>136</v>
      </c>
      <c r="F11" s="7" t="s">
        <v>137</v>
      </c>
    </row>
    <row r="12" spans="1:6" x14ac:dyDescent="0.25">
      <c r="A12" s="7" t="s">
        <v>21</v>
      </c>
      <c r="B12" s="7" t="s">
        <v>138</v>
      </c>
      <c r="C12" s="7" t="s">
        <v>131</v>
      </c>
      <c r="D12" s="7">
        <v>10</v>
      </c>
      <c r="E12" s="7" t="s">
        <v>60</v>
      </c>
      <c r="F12" s="7" t="s">
        <v>139</v>
      </c>
    </row>
    <row r="13" spans="1:6" x14ac:dyDescent="0.25">
      <c r="A13" s="7" t="s">
        <v>21</v>
      </c>
      <c r="B13" s="7" t="s">
        <v>138</v>
      </c>
      <c r="C13" s="7" t="s">
        <v>133</v>
      </c>
      <c r="D13" s="7">
        <v>90</v>
      </c>
      <c r="E13" s="7" t="s">
        <v>140</v>
      </c>
      <c r="F13" s="7" t="s">
        <v>141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"/>
  <sheetViews>
    <sheetView workbookViewId="0" showGridLines="0" zoomScale="100" zoomScaleNormal="100">
      <selection activeCell="D100" sqref="D100"/>
    </sheetView>
  </sheetViews>
  <sheetFormatPr defaultRowHeight="14.25" outlineLevelRow="0" outlineLevelCol="0" x14ac:dyDescent="0" customHeight="1"/>
  <cols>
    <col min="1" max="1" width="17" customWidth="1"/>
    <col min="2" max="2" width="21.125" customWidth="1"/>
    <col min="3" max="4" width="14" customWidth="1"/>
    <col min="5" max="5" width="22" customWidth="1"/>
  </cols>
  <sheetData>
    <row r="1" spans="1:5" x14ac:dyDescent="0.25">
      <c r="A1" s="3" t="s">
        <v>142</v>
      </c>
      <c r="B1" s="4"/>
      <c r="C1" s="4"/>
      <c r="D1" s="4"/>
      <c r="E1" s="4"/>
    </row>
    <row r="3" ht="15" customHeight="1" spans="1:5" x14ac:dyDescent="0.25">
      <c r="A3" s="5" t="s">
        <v>11</v>
      </c>
      <c r="B3" s="5" t="s">
        <v>143</v>
      </c>
      <c r="C3" s="6" t="s">
        <v>74</v>
      </c>
      <c r="D3" s="6" t="s">
        <v>56</v>
      </c>
      <c r="E3" s="6" t="s">
        <v>20</v>
      </c>
    </row>
    <row r="4" spans="1:4" x14ac:dyDescent="0.25">
      <c r="A4" s="7" t="s">
        <v>21</v>
      </c>
      <c r="B4" t="s">
        <v>144</v>
      </c>
      <c r="C4" t="s">
        <v>87</v>
      </c>
      <c r="D4" s="7">
        <v>30</v>
      </c>
    </row>
    <row r="5" spans="1:4" x14ac:dyDescent="0.25">
      <c r="A5" s="7" t="s">
        <v>21</v>
      </c>
      <c r="B5" t="s">
        <v>145</v>
      </c>
      <c r="C5" t="s">
        <v>87</v>
      </c>
      <c r="D5" s="7">
        <v>40</v>
      </c>
    </row>
    <row r="6" spans="1:4" x14ac:dyDescent="0.25">
      <c r="A6" s="7" t="s">
        <v>21</v>
      </c>
      <c r="B6" t="s">
        <v>146</v>
      </c>
      <c r="C6" t="s">
        <v>87</v>
      </c>
      <c r="D6" s="7">
        <v>50</v>
      </c>
    </row>
    <row r="7" spans="1:4" x14ac:dyDescent="0.25">
      <c r="A7" s="7" t="s">
        <v>21</v>
      </c>
      <c r="B7" t="s">
        <v>147</v>
      </c>
      <c r="C7" t="s">
        <v>87</v>
      </c>
      <c r="D7" s="7">
        <v>60</v>
      </c>
    </row>
    <row r="8" spans="1:4" x14ac:dyDescent="0.25">
      <c r="A8" s="7" t="s">
        <v>21</v>
      </c>
      <c r="B8" t="s">
        <v>148</v>
      </c>
      <c r="C8" t="s">
        <v>87</v>
      </c>
      <c r="D8" s="7">
        <v>70</v>
      </c>
    </row>
    <row r="9" spans="1:4" x14ac:dyDescent="0.25">
      <c r="A9" s="7" t="s">
        <v>21</v>
      </c>
      <c r="B9" t="s">
        <v>149</v>
      </c>
      <c r="C9" t="s">
        <v>87</v>
      </c>
      <c r="D9" s="7">
        <v>80</v>
      </c>
    </row>
    <row r="10" spans="1:4" x14ac:dyDescent="0.25">
      <c r="A10" s="7" t="s">
        <v>21</v>
      </c>
      <c r="B10" t="s">
        <v>150</v>
      </c>
      <c r="C10" t="s">
        <v>87</v>
      </c>
      <c r="D10" s="7">
        <v>90</v>
      </c>
    </row>
    <row r="11" spans="1:4" x14ac:dyDescent="0.25">
      <c r="A11" s="7" t="s">
        <v>21</v>
      </c>
      <c r="B11" t="s">
        <v>151</v>
      </c>
      <c r="C11" t="s">
        <v>87</v>
      </c>
      <c r="D11" s="7">
        <v>100</v>
      </c>
    </row>
    <row r="12" spans="1:4" x14ac:dyDescent="0.25">
      <c r="A12" s="7" t="s">
        <v>21</v>
      </c>
      <c r="B12" t="s">
        <v>152</v>
      </c>
      <c r="C12" t="s">
        <v>87</v>
      </c>
      <c r="D12" s="7">
        <v>110</v>
      </c>
    </row>
    <row r="13" spans="1:4" x14ac:dyDescent="0.25">
      <c r="A13" s="7" t="s">
        <v>21</v>
      </c>
      <c r="B13" t="s">
        <v>153</v>
      </c>
      <c r="C13" t="s">
        <v>87</v>
      </c>
      <c r="D13" s="7">
        <v>120</v>
      </c>
    </row>
    <row r="14" spans="1:4" x14ac:dyDescent="0.25">
      <c r="A14" s="7" t="s">
        <v>21</v>
      </c>
      <c r="B14" t="s">
        <v>154</v>
      </c>
      <c r="C14" t="s">
        <v>87</v>
      </c>
      <c r="D14" s="7">
        <v>130</v>
      </c>
    </row>
    <row r="15" spans="1:4" x14ac:dyDescent="0.25">
      <c r="A15" s="7" t="s">
        <v>21</v>
      </c>
      <c r="B15" t="s">
        <v>67</v>
      </c>
      <c r="C15" t="s">
        <v>87</v>
      </c>
      <c r="D15" s="7">
        <v>140</v>
      </c>
    </row>
    <row r="16" spans="1:4" x14ac:dyDescent="0.25">
      <c r="A16" s="7" t="s">
        <v>21</v>
      </c>
      <c r="B16" t="s">
        <v>155</v>
      </c>
      <c r="C16" t="s">
        <v>87</v>
      </c>
      <c r="D16" s="7">
        <v>150</v>
      </c>
    </row>
    <row r="17" spans="1:4" x14ac:dyDescent="0.25">
      <c r="A17" s="7" t="s">
        <v>21</v>
      </c>
      <c r="B17" t="s">
        <v>156</v>
      </c>
      <c r="C17" t="s">
        <v>102</v>
      </c>
      <c r="D17" s="7">
        <v>160</v>
      </c>
    </row>
    <row r="18" spans="1:4" x14ac:dyDescent="0.25">
      <c r="A18" s="7" t="s">
        <v>21</v>
      </c>
      <c r="B18" t="s">
        <v>157</v>
      </c>
      <c r="C18" t="s">
        <v>102</v>
      </c>
      <c r="D18" s="7">
        <v>170</v>
      </c>
    </row>
    <row r="19" spans="1:4" x14ac:dyDescent="0.25">
      <c r="A19" s="7" t="s">
        <v>21</v>
      </c>
      <c r="B19" t="s">
        <v>144</v>
      </c>
      <c r="C19" t="s">
        <v>102</v>
      </c>
      <c r="D19" s="7">
        <v>180</v>
      </c>
    </row>
    <row r="20" spans="1:4" x14ac:dyDescent="0.25">
      <c r="A20" s="7" t="s">
        <v>21</v>
      </c>
      <c r="B20" t="s">
        <v>145</v>
      </c>
      <c r="C20" t="s">
        <v>102</v>
      </c>
      <c r="D20" s="7">
        <v>190</v>
      </c>
    </row>
    <row r="21" spans="1:4" x14ac:dyDescent="0.25">
      <c r="A21" s="7" t="s">
        <v>21</v>
      </c>
      <c r="B21" t="s">
        <v>147</v>
      </c>
      <c r="C21" t="s">
        <v>102</v>
      </c>
      <c r="D21" s="7">
        <v>200</v>
      </c>
    </row>
    <row r="22" spans="1:4" x14ac:dyDescent="0.25">
      <c r="A22" s="7" t="s">
        <v>21</v>
      </c>
      <c r="B22" t="s">
        <v>149</v>
      </c>
      <c r="C22" t="s">
        <v>102</v>
      </c>
      <c r="D22" s="7">
        <v>210</v>
      </c>
    </row>
    <row r="23" spans="1:4" x14ac:dyDescent="0.25">
      <c r="A23" s="7" t="s">
        <v>21</v>
      </c>
      <c r="B23" t="s">
        <v>151</v>
      </c>
      <c r="C23" t="s">
        <v>102</v>
      </c>
      <c r="D23" s="7">
        <v>220</v>
      </c>
    </row>
    <row r="24" spans="1:4" x14ac:dyDescent="0.25">
      <c r="A24" s="7" t="s">
        <v>21</v>
      </c>
      <c r="B24" t="s">
        <v>154</v>
      </c>
      <c r="C24" t="s">
        <v>102</v>
      </c>
      <c r="D24" s="7">
        <v>230</v>
      </c>
    </row>
    <row r="25" spans="1:4" x14ac:dyDescent="0.25">
      <c r="A25" s="7" t="s">
        <v>21</v>
      </c>
      <c r="B25" t="s">
        <v>158</v>
      </c>
      <c r="C25" t="s">
        <v>102</v>
      </c>
      <c r="D25" s="7">
        <v>240</v>
      </c>
    </row>
    <row r="26" spans="1:4" x14ac:dyDescent="0.25">
      <c r="A26" s="7" t="s">
        <v>21</v>
      </c>
      <c r="B26" t="s">
        <v>159</v>
      </c>
      <c r="C26" t="s">
        <v>102</v>
      </c>
      <c r="D26" s="7">
        <v>250</v>
      </c>
    </row>
    <row r="27" spans="1:4" x14ac:dyDescent="0.25">
      <c r="A27" s="7" t="s">
        <v>21</v>
      </c>
      <c r="B27" t="s">
        <v>155</v>
      </c>
      <c r="C27" t="s">
        <v>102</v>
      </c>
      <c r="D27" s="7">
        <v>260</v>
      </c>
    </row>
    <row r="28" spans="1:4" x14ac:dyDescent="0.25">
      <c r="A28" s="7" t="s">
        <v>21</v>
      </c>
      <c r="B28" t="s">
        <v>160</v>
      </c>
      <c r="C28" t="s">
        <v>117</v>
      </c>
      <c r="D28" s="7">
        <v>270</v>
      </c>
    </row>
    <row r="29" spans="1:4" x14ac:dyDescent="0.25">
      <c r="A29" s="7" t="s">
        <v>21</v>
      </c>
      <c r="B29" t="s">
        <v>145</v>
      </c>
      <c r="C29" t="s">
        <v>117</v>
      </c>
      <c r="D29" s="7">
        <v>280</v>
      </c>
    </row>
    <row r="30" spans="1:4" x14ac:dyDescent="0.25">
      <c r="A30" s="7" t="s">
        <v>21</v>
      </c>
      <c r="B30" t="s">
        <v>147</v>
      </c>
      <c r="C30" t="s">
        <v>117</v>
      </c>
      <c r="D30" s="7">
        <v>290</v>
      </c>
    </row>
    <row r="31" spans="1:4" x14ac:dyDescent="0.25">
      <c r="A31" s="7" t="s">
        <v>21</v>
      </c>
      <c r="B31" t="s">
        <v>151</v>
      </c>
      <c r="C31" t="s">
        <v>117</v>
      </c>
      <c r="D31" s="7">
        <v>300</v>
      </c>
    </row>
    <row r="32" spans="1:4" x14ac:dyDescent="0.25">
      <c r="A32" s="7" t="s">
        <v>21</v>
      </c>
      <c r="B32" t="s">
        <v>158</v>
      </c>
      <c r="C32" t="s">
        <v>117</v>
      </c>
      <c r="D32" s="7">
        <v>310</v>
      </c>
    </row>
    <row r="33" spans="1:4" x14ac:dyDescent="0.25">
      <c r="A33" s="7" t="s">
        <v>21</v>
      </c>
      <c r="B33" t="s">
        <v>159</v>
      </c>
      <c r="C33" t="s">
        <v>117</v>
      </c>
      <c r="D33" s="7">
        <v>320</v>
      </c>
    </row>
    <row r="34" spans="1:4" x14ac:dyDescent="0.25">
      <c r="A34" s="7" t="s">
        <v>21</v>
      </c>
      <c r="B34" t="s">
        <v>155</v>
      </c>
      <c r="C34" t="s">
        <v>117</v>
      </c>
      <c r="D34" s="7">
        <v>330</v>
      </c>
    </row>
    <row r="35" spans="1:4" x14ac:dyDescent="0.25">
      <c r="A35" s="7" t="s">
        <v>21</v>
      </c>
      <c r="B35" t="s">
        <v>161</v>
      </c>
      <c r="C35" t="s">
        <v>118</v>
      </c>
      <c r="D35" s="7">
        <v>340</v>
      </c>
    </row>
    <row r="36" spans="1:4" x14ac:dyDescent="0.25">
      <c r="A36" s="7" t="s">
        <v>21</v>
      </c>
      <c r="B36" t="s">
        <v>145</v>
      </c>
      <c r="C36" t="s">
        <v>118</v>
      </c>
      <c r="D36" s="7">
        <v>350</v>
      </c>
    </row>
    <row r="37" spans="1:4" x14ac:dyDescent="0.25">
      <c r="A37" s="7" t="s">
        <v>21</v>
      </c>
      <c r="B37" t="s">
        <v>147</v>
      </c>
      <c r="C37" t="s">
        <v>118</v>
      </c>
      <c r="D37" s="7">
        <v>360</v>
      </c>
    </row>
    <row r="38" spans="1:4" x14ac:dyDescent="0.25">
      <c r="A38" s="7" t="s">
        <v>21</v>
      </c>
      <c r="B38" t="s">
        <v>151</v>
      </c>
      <c r="C38" t="s">
        <v>118</v>
      </c>
      <c r="D38" s="7">
        <v>370</v>
      </c>
    </row>
    <row r="39" spans="1:4" x14ac:dyDescent="0.25">
      <c r="A39" s="7" t="s">
        <v>21</v>
      </c>
      <c r="B39" t="s">
        <v>158</v>
      </c>
      <c r="C39" t="s">
        <v>118</v>
      </c>
      <c r="D39" s="7">
        <v>380</v>
      </c>
    </row>
    <row r="40" spans="1:4" x14ac:dyDescent="0.25">
      <c r="A40" s="7" t="s">
        <v>21</v>
      </c>
      <c r="B40" t="s">
        <v>159</v>
      </c>
      <c r="C40" t="s">
        <v>118</v>
      </c>
      <c r="D40" s="7">
        <v>390</v>
      </c>
    </row>
    <row r="41" spans="1:4" x14ac:dyDescent="0.25">
      <c r="A41" s="7" t="s">
        <v>21</v>
      </c>
      <c r="B41" t="s">
        <v>155</v>
      </c>
      <c r="C41" t="s">
        <v>118</v>
      </c>
      <c r="D41" s="7">
        <v>400</v>
      </c>
    </row>
    <row r="42" spans="1:4" x14ac:dyDescent="0.25">
      <c r="A42" s="7" t="s">
        <v>21</v>
      </c>
      <c r="B42" t="s">
        <v>145</v>
      </c>
      <c r="C42" t="s">
        <v>119</v>
      </c>
      <c r="D42" s="7">
        <v>410</v>
      </c>
    </row>
    <row r="43" spans="1:4" x14ac:dyDescent="0.25">
      <c r="A43" s="7" t="s">
        <v>21</v>
      </c>
      <c r="B43" t="s">
        <v>147</v>
      </c>
      <c r="C43" t="s">
        <v>119</v>
      </c>
      <c r="D43" s="7">
        <v>420</v>
      </c>
    </row>
    <row r="44" spans="1:4" x14ac:dyDescent="0.25">
      <c r="A44" s="7" t="s">
        <v>21</v>
      </c>
      <c r="B44" t="s">
        <v>151</v>
      </c>
      <c r="C44" t="s">
        <v>119</v>
      </c>
      <c r="D44" s="7">
        <v>430</v>
      </c>
    </row>
    <row r="45" spans="1:4" x14ac:dyDescent="0.25">
      <c r="A45" s="7" t="s">
        <v>21</v>
      </c>
      <c r="B45" t="s">
        <v>159</v>
      </c>
      <c r="C45" t="s">
        <v>119</v>
      </c>
      <c r="D45" s="7">
        <v>440</v>
      </c>
    </row>
    <row r="46" spans="1:4" x14ac:dyDescent="0.25">
      <c r="A46" s="7" t="s">
        <v>21</v>
      </c>
      <c r="B46" t="s">
        <v>155</v>
      </c>
      <c r="C46" t="s">
        <v>119</v>
      </c>
      <c r="D46" s="7">
        <v>450</v>
      </c>
    </row>
    <row r="47" spans="1:4" x14ac:dyDescent="0.25">
      <c r="A47" s="7" t="s">
        <v>21</v>
      </c>
      <c r="B47" t="s">
        <v>162</v>
      </c>
      <c r="C47" t="s">
        <v>162</v>
      </c>
      <c r="D47" s="7">
        <v>460</v>
      </c>
    </row>
    <row r="48" spans="1:4" x14ac:dyDescent="0.25">
      <c r="A48" s="18" t="s">
        <v>28</v>
      </c>
      <c r="B48" t="s">
        <v>144</v>
      </c>
      <c r="C48" t="s">
        <v>102</v>
      </c>
      <c r="D48" s="18">
        <v>10</v>
      </c>
    </row>
    <row r="49" spans="1:4" x14ac:dyDescent="0.25">
      <c r="A49" s="18" t="s">
        <v>28</v>
      </c>
      <c r="B49" t="s">
        <v>145</v>
      </c>
      <c r="C49" t="s">
        <v>102</v>
      </c>
      <c r="D49" s="18">
        <v>20</v>
      </c>
    </row>
    <row r="50" spans="1:4" x14ac:dyDescent="0.25">
      <c r="A50" s="18" t="s">
        <v>28</v>
      </c>
      <c r="B50" t="s">
        <v>149</v>
      </c>
      <c r="C50" t="s">
        <v>102</v>
      </c>
      <c r="D50" s="18">
        <v>30</v>
      </c>
    </row>
    <row r="51" spans="1:4" x14ac:dyDescent="0.25">
      <c r="A51" s="18" t="s">
        <v>28</v>
      </c>
      <c r="B51" t="s">
        <v>163</v>
      </c>
      <c r="C51" t="s">
        <v>102</v>
      </c>
      <c r="D51" s="18">
        <v>40</v>
      </c>
    </row>
    <row r="52" spans="1:4" x14ac:dyDescent="0.25">
      <c r="A52" s="18" t="s">
        <v>28</v>
      </c>
      <c r="B52" t="s">
        <v>151</v>
      </c>
      <c r="C52" t="s">
        <v>102</v>
      </c>
      <c r="D52" s="18">
        <v>50</v>
      </c>
    </row>
    <row r="53" spans="1:4" x14ac:dyDescent="0.25">
      <c r="A53" s="18" t="s">
        <v>28</v>
      </c>
      <c r="B53" t="s">
        <v>164</v>
      </c>
      <c r="C53" t="s">
        <v>102</v>
      </c>
      <c r="D53" s="18">
        <v>60</v>
      </c>
    </row>
    <row r="54" spans="1:4" x14ac:dyDescent="0.25">
      <c r="A54" s="18" t="s">
        <v>28</v>
      </c>
      <c r="B54" t="s">
        <v>152</v>
      </c>
      <c r="C54" t="s">
        <v>102</v>
      </c>
      <c r="D54" s="18">
        <v>70</v>
      </c>
    </row>
    <row r="55" spans="1:4" x14ac:dyDescent="0.25">
      <c r="A55" s="18" t="s">
        <v>28</v>
      </c>
      <c r="B55" t="s">
        <v>165</v>
      </c>
      <c r="C55" t="s">
        <v>102</v>
      </c>
      <c r="D55" s="18">
        <v>80</v>
      </c>
    </row>
    <row r="56" spans="1:4" x14ac:dyDescent="0.25">
      <c r="A56" s="18" t="s">
        <v>28</v>
      </c>
      <c r="B56" t="s">
        <v>166</v>
      </c>
      <c r="C56" t="s">
        <v>102</v>
      </c>
      <c r="D56" s="18">
        <v>90</v>
      </c>
    </row>
    <row r="57" spans="1:4" x14ac:dyDescent="0.25">
      <c r="A57" s="18" t="s">
        <v>28</v>
      </c>
      <c r="B57" t="s">
        <v>167</v>
      </c>
      <c r="C57" t="s">
        <v>102</v>
      </c>
      <c r="D57" s="18">
        <v>100</v>
      </c>
    </row>
    <row r="58" spans="1:4" x14ac:dyDescent="0.25">
      <c r="A58" s="18" t="s">
        <v>28</v>
      </c>
      <c r="B58" t="s">
        <v>145</v>
      </c>
      <c r="C58" t="s">
        <v>117</v>
      </c>
      <c r="D58" s="18">
        <v>110</v>
      </c>
    </row>
    <row r="59" spans="1:4" x14ac:dyDescent="0.25">
      <c r="A59" s="18" t="s">
        <v>28</v>
      </c>
      <c r="B59" t="s">
        <v>147</v>
      </c>
      <c r="C59" t="s">
        <v>117</v>
      </c>
      <c r="D59" s="18">
        <v>120</v>
      </c>
    </row>
    <row r="60" spans="1:4" x14ac:dyDescent="0.25">
      <c r="A60" s="18" t="s">
        <v>28</v>
      </c>
      <c r="B60" t="s">
        <v>151</v>
      </c>
      <c r="C60" t="s">
        <v>117</v>
      </c>
      <c r="D60" s="18">
        <v>130</v>
      </c>
    </row>
    <row r="61" spans="1:4" x14ac:dyDescent="0.25">
      <c r="A61" s="18" t="s">
        <v>28</v>
      </c>
      <c r="B61" t="s">
        <v>145</v>
      </c>
      <c r="C61" t="s">
        <v>118</v>
      </c>
      <c r="D61" s="18">
        <v>140</v>
      </c>
    </row>
    <row r="62" spans="1:4" x14ac:dyDescent="0.25">
      <c r="A62" s="18" t="s">
        <v>28</v>
      </c>
      <c r="B62" t="s">
        <v>147</v>
      </c>
      <c r="C62" t="s">
        <v>118</v>
      </c>
      <c r="D62" s="18">
        <v>150</v>
      </c>
    </row>
    <row r="63" spans="1:4" x14ac:dyDescent="0.25">
      <c r="A63" s="18" t="s">
        <v>28</v>
      </c>
      <c r="B63" t="s">
        <v>151</v>
      </c>
      <c r="C63" t="s">
        <v>118</v>
      </c>
      <c r="D63" s="18">
        <v>160</v>
      </c>
    </row>
    <row r="64" spans="1:4" x14ac:dyDescent="0.25">
      <c r="A64" s="18" t="s">
        <v>28</v>
      </c>
      <c r="B64" t="s">
        <v>145</v>
      </c>
      <c r="C64" t="s">
        <v>119</v>
      </c>
      <c r="D64" s="18">
        <v>170</v>
      </c>
    </row>
    <row r="65" spans="1:4" x14ac:dyDescent="0.25">
      <c r="A65" s="18" t="s">
        <v>28</v>
      </c>
      <c r="B65" t="s">
        <v>147</v>
      </c>
      <c r="C65" t="s">
        <v>119</v>
      </c>
      <c r="D65" s="18">
        <v>180</v>
      </c>
    </row>
    <row r="66" spans="1:4" x14ac:dyDescent="0.25">
      <c r="A66" s="18" t="s">
        <v>28</v>
      </c>
      <c r="B66" t="s">
        <v>151</v>
      </c>
      <c r="C66" t="s">
        <v>119</v>
      </c>
      <c r="D66" s="18">
        <v>190</v>
      </c>
    </row>
    <row r="67" spans="1:4" x14ac:dyDescent="0.25">
      <c r="A67" s="18" t="s">
        <v>28</v>
      </c>
      <c r="B67" t="s">
        <v>145</v>
      </c>
      <c r="C67" t="s">
        <v>121</v>
      </c>
      <c r="D67" s="18">
        <v>200</v>
      </c>
    </row>
    <row r="68" spans="1:4" x14ac:dyDescent="0.25">
      <c r="A68" s="18" t="s">
        <v>28</v>
      </c>
      <c r="B68" t="s">
        <v>147</v>
      </c>
      <c r="C68" t="s">
        <v>121</v>
      </c>
      <c r="D68" s="18">
        <v>210</v>
      </c>
    </row>
    <row r="69" spans="1:4" x14ac:dyDescent="0.25">
      <c r="A69" s="18" t="s">
        <v>28</v>
      </c>
      <c r="B69" t="s">
        <v>151</v>
      </c>
      <c r="C69" t="s">
        <v>121</v>
      </c>
      <c r="D69" s="18">
        <v>220</v>
      </c>
    </row>
    <row r="70" spans="1:4" x14ac:dyDescent="0.25">
      <c r="A70" s="18" t="s">
        <v>28</v>
      </c>
      <c r="B70" t="s">
        <v>145</v>
      </c>
      <c r="C70" t="s">
        <v>123</v>
      </c>
      <c r="D70" s="18">
        <v>230</v>
      </c>
    </row>
    <row r="71" spans="1:4" x14ac:dyDescent="0.25">
      <c r="A71" s="18" t="s">
        <v>28</v>
      </c>
      <c r="B71" t="s">
        <v>147</v>
      </c>
      <c r="C71" t="s">
        <v>123</v>
      </c>
      <c r="D71" s="18">
        <v>240</v>
      </c>
    </row>
    <row r="72" spans="1:4" x14ac:dyDescent="0.25">
      <c r="A72" s="18" t="s">
        <v>28</v>
      </c>
      <c r="B72" t="s">
        <v>151</v>
      </c>
      <c r="C72" t="s">
        <v>123</v>
      </c>
      <c r="D72" s="18">
        <v>250</v>
      </c>
    </row>
    <row r="73" spans="1:4" x14ac:dyDescent="0.25">
      <c r="A73" s="18" t="s">
        <v>28</v>
      </c>
      <c r="B73" t="s">
        <v>162</v>
      </c>
      <c r="C73" t="s">
        <v>162</v>
      </c>
      <c r="D73" s="18">
        <v>260</v>
      </c>
    </row>
    <row r="74" spans="1:4" x14ac:dyDescent="0.25">
      <c r="A74" s="18" t="s">
        <v>33</v>
      </c>
      <c r="B74" t="s">
        <v>168</v>
      </c>
      <c r="C74" t="s">
        <v>169</v>
      </c>
      <c r="D74" s="18">
        <v>10</v>
      </c>
    </row>
    <row r="75" spans="1:4" x14ac:dyDescent="0.25">
      <c r="A75" s="18" t="s">
        <v>33</v>
      </c>
      <c r="B75" t="s">
        <v>157</v>
      </c>
      <c r="C75" t="s">
        <v>87</v>
      </c>
      <c r="D75" s="18">
        <v>20</v>
      </c>
    </row>
    <row r="76" spans="1:4" x14ac:dyDescent="0.25">
      <c r="A76" s="18" t="s">
        <v>33</v>
      </c>
      <c r="B76" t="s">
        <v>170</v>
      </c>
      <c r="C76" t="s">
        <v>87</v>
      </c>
      <c r="D76" s="18">
        <v>30</v>
      </c>
    </row>
    <row r="77" spans="1:4" x14ac:dyDescent="0.25">
      <c r="A77" s="18" t="s">
        <v>33</v>
      </c>
      <c r="B77" t="s">
        <v>171</v>
      </c>
      <c r="C77" t="s">
        <v>87</v>
      </c>
      <c r="D77" s="18">
        <v>40</v>
      </c>
    </row>
    <row r="78" spans="1:4" x14ac:dyDescent="0.25">
      <c r="A78" s="18" t="s">
        <v>33</v>
      </c>
      <c r="B78" t="s">
        <v>172</v>
      </c>
      <c r="C78" t="s">
        <v>87</v>
      </c>
      <c r="D78" s="18">
        <v>50</v>
      </c>
    </row>
    <row r="79" spans="1:4" x14ac:dyDescent="0.25">
      <c r="A79" s="18" t="s">
        <v>33</v>
      </c>
      <c r="B79" t="s">
        <v>173</v>
      </c>
      <c r="C79" t="s">
        <v>87</v>
      </c>
      <c r="D79" s="18">
        <v>60</v>
      </c>
    </row>
    <row r="80" spans="1:4" x14ac:dyDescent="0.25">
      <c r="A80" s="18" t="s">
        <v>33</v>
      </c>
      <c r="B80" t="s">
        <v>174</v>
      </c>
      <c r="C80" t="s">
        <v>87</v>
      </c>
      <c r="D80" s="18">
        <v>70</v>
      </c>
    </row>
    <row r="81" spans="1:4" x14ac:dyDescent="0.25">
      <c r="A81" s="18" t="s">
        <v>33</v>
      </c>
      <c r="B81" t="s">
        <v>148</v>
      </c>
      <c r="C81" t="s">
        <v>87</v>
      </c>
      <c r="D81" s="18">
        <v>80</v>
      </c>
    </row>
    <row r="82" spans="1:4" x14ac:dyDescent="0.25">
      <c r="A82" s="18" t="s">
        <v>33</v>
      </c>
      <c r="B82" t="s">
        <v>175</v>
      </c>
      <c r="C82" t="s">
        <v>87</v>
      </c>
      <c r="D82" s="18">
        <v>90</v>
      </c>
    </row>
    <row r="83" spans="1:4" x14ac:dyDescent="0.25">
      <c r="A83" s="18" t="s">
        <v>33</v>
      </c>
      <c r="B83" t="s">
        <v>176</v>
      </c>
      <c r="C83" t="s">
        <v>87</v>
      </c>
      <c r="D83" s="18">
        <v>100</v>
      </c>
    </row>
    <row r="84" spans="1:4" x14ac:dyDescent="0.25">
      <c r="A84" s="18" t="s">
        <v>33</v>
      </c>
      <c r="B84" t="s">
        <v>177</v>
      </c>
      <c r="C84" t="s">
        <v>102</v>
      </c>
      <c r="D84" s="18">
        <v>110</v>
      </c>
    </row>
    <row r="85" spans="1:4" x14ac:dyDescent="0.25">
      <c r="A85" s="18" t="s">
        <v>33</v>
      </c>
      <c r="B85" t="s">
        <v>178</v>
      </c>
      <c r="C85" t="s">
        <v>102</v>
      </c>
      <c r="D85" s="18">
        <v>120</v>
      </c>
    </row>
    <row r="86" spans="1:4" x14ac:dyDescent="0.25">
      <c r="A86" s="18" t="s">
        <v>33</v>
      </c>
      <c r="B86" t="s">
        <v>179</v>
      </c>
      <c r="C86" t="s">
        <v>102</v>
      </c>
      <c r="D86" s="18">
        <v>130</v>
      </c>
    </row>
    <row r="87" spans="1:4" x14ac:dyDescent="0.25">
      <c r="A87" s="18" t="s">
        <v>33</v>
      </c>
      <c r="B87" t="s">
        <v>175</v>
      </c>
      <c r="C87" t="s">
        <v>102</v>
      </c>
      <c r="D87" s="18">
        <v>140</v>
      </c>
    </row>
    <row r="88" spans="1:4" x14ac:dyDescent="0.25">
      <c r="A88" s="18" t="s">
        <v>33</v>
      </c>
      <c r="B88" t="s">
        <v>176</v>
      </c>
      <c r="C88" t="s">
        <v>102</v>
      </c>
      <c r="D88" s="18">
        <v>150</v>
      </c>
    </row>
    <row r="89" spans="1:4" x14ac:dyDescent="0.25">
      <c r="A89" s="18" t="s">
        <v>33</v>
      </c>
      <c r="B89" t="s">
        <v>172</v>
      </c>
      <c r="C89" t="s">
        <v>117</v>
      </c>
      <c r="D89" s="18">
        <v>160</v>
      </c>
    </row>
    <row r="90" spans="1:4" x14ac:dyDescent="0.25">
      <c r="A90" s="18" t="s">
        <v>33</v>
      </c>
      <c r="B90" t="s">
        <v>173</v>
      </c>
      <c r="C90" t="s">
        <v>117</v>
      </c>
      <c r="D90" s="18">
        <v>170</v>
      </c>
    </row>
    <row r="91" spans="1:4" x14ac:dyDescent="0.25">
      <c r="A91" s="18" t="s">
        <v>33</v>
      </c>
      <c r="B91" t="s">
        <v>147</v>
      </c>
      <c r="C91" t="s">
        <v>117</v>
      </c>
      <c r="D91" s="18">
        <v>180</v>
      </c>
    </row>
    <row r="92" spans="1:4" x14ac:dyDescent="0.25">
      <c r="A92" s="18" t="s">
        <v>33</v>
      </c>
      <c r="B92" t="s">
        <v>175</v>
      </c>
      <c r="C92" t="s">
        <v>117</v>
      </c>
      <c r="D92" s="18">
        <v>190</v>
      </c>
    </row>
    <row r="93" spans="1:4" x14ac:dyDescent="0.25">
      <c r="A93" s="18" t="s">
        <v>33</v>
      </c>
      <c r="B93" t="s">
        <v>172</v>
      </c>
      <c r="C93" t="s">
        <v>118</v>
      </c>
      <c r="D93" s="18">
        <v>200</v>
      </c>
    </row>
    <row r="94" spans="1:4" x14ac:dyDescent="0.25">
      <c r="A94" s="18" t="s">
        <v>33</v>
      </c>
      <c r="B94" t="s">
        <v>173</v>
      </c>
      <c r="C94" t="s">
        <v>118</v>
      </c>
      <c r="D94" s="18">
        <v>210</v>
      </c>
    </row>
    <row r="95" spans="1:4" x14ac:dyDescent="0.25">
      <c r="A95" s="18" t="s">
        <v>33</v>
      </c>
      <c r="B95" t="s">
        <v>147</v>
      </c>
      <c r="C95" t="s">
        <v>118</v>
      </c>
      <c r="D95" s="18">
        <v>220</v>
      </c>
    </row>
    <row r="96" spans="1:4" x14ac:dyDescent="0.25">
      <c r="A96" s="18" t="s">
        <v>33</v>
      </c>
      <c r="B96" t="s">
        <v>175</v>
      </c>
      <c r="C96" t="s">
        <v>118</v>
      </c>
      <c r="D96" s="18">
        <v>230</v>
      </c>
    </row>
    <row r="97" spans="1:4" x14ac:dyDescent="0.25">
      <c r="A97" s="18" t="s">
        <v>33</v>
      </c>
      <c r="B97" t="s">
        <v>172</v>
      </c>
      <c r="C97" t="s">
        <v>119</v>
      </c>
      <c r="D97" s="18">
        <v>240</v>
      </c>
    </row>
    <row r="98" spans="1:4" x14ac:dyDescent="0.25">
      <c r="A98" s="18" t="s">
        <v>33</v>
      </c>
      <c r="B98" t="s">
        <v>173</v>
      </c>
      <c r="C98" t="s">
        <v>119</v>
      </c>
      <c r="D98" s="18">
        <v>250</v>
      </c>
    </row>
    <row r="99" spans="1:4" x14ac:dyDescent="0.25">
      <c r="A99" s="18" t="s">
        <v>33</v>
      </c>
      <c r="B99" t="s">
        <v>147</v>
      </c>
      <c r="C99" t="s">
        <v>119</v>
      </c>
      <c r="D99" s="18">
        <v>260</v>
      </c>
    </row>
    <row r="100" spans="1:4" x14ac:dyDescent="0.25">
      <c r="A100" s="18" t="s">
        <v>33</v>
      </c>
      <c r="B100" t="s">
        <v>175</v>
      </c>
      <c r="C100" t="s">
        <v>119</v>
      </c>
      <c r="D100" s="18">
        <v>270</v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 showGridLines="0" zoomScale="100" zoomScaleNormal="100">
      <selection activeCell="B8" sqref="B8"/>
    </sheetView>
  </sheetViews>
  <sheetFormatPr defaultRowHeight="14.25" outlineLevelRow="0" outlineLevelCol="0" x14ac:dyDescent="0" customHeight="1"/>
  <cols>
    <col min="1" max="1" width="28" customWidth="1"/>
    <col min="2" max="2" width="26" customWidth="1"/>
    <col min="3" max="3" width="21" customWidth="1"/>
    <col min="4" max="4" width="27.125" customWidth="1"/>
    <col min="5" max="6" width="14" customWidth="1"/>
  </cols>
  <sheetData>
    <row r="1" spans="1:6" x14ac:dyDescent="0.25">
      <c r="A1" s="3" t="s">
        <v>180</v>
      </c>
      <c r="B1" s="4"/>
      <c r="C1" s="4"/>
      <c r="D1" s="4"/>
      <c r="E1" s="4"/>
      <c r="F1" s="4"/>
    </row>
    <row r="3" ht="15" customHeight="1" spans="1:6" x14ac:dyDescent="0.25">
      <c r="A3" s="5" t="s">
        <v>181</v>
      </c>
      <c r="B3" s="5" t="s">
        <v>182</v>
      </c>
      <c r="C3" s="6" t="s">
        <v>183</v>
      </c>
      <c r="D3" s="6" t="s">
        <v>184</v>
      </c>
      <c r="E3" s="6" t="s">
        <v>185</v>
      </c>
      <c r="F3" s="6" t="s">
        <v>20</v>
      </c>
    </row>
    <row r="4" spans="1:6" x14ac:dyDescent="0.25">
      <c r="A4" s="7" t="s">
        <v>186</v>
      </c>
      <c r="B4" s="7" t="s">
        <v>187</v>
      </c>
      <c r="C4" s="7" t="s">
        <v>188</v>
      </c>
      <c r="D4" s="7" t="s">
        <v>189</v>
      </c>
      <c r="E4" s="7" t="s">
        <v>190</v>
      </c>
      <c r="F4" s="7"/>
    </row>
    <row r="5" spans="1:5" x14ac:dyDescent="0.25">
      <c r="A5" t="s">
        <v>191</v>
      </c>
      <c r="B5" t="s">
        <v>192</v>
      </c>
      <c r="C5" t="s">
        <v>193</v>
      </c>
      <c r="D5" t="s">
        <v>194</v>
      </c>
      <c r="E5" t="s">
        <v>195</v>
      </c>
    </row>
    <row r="6" spans="1:5" x14ac:dyDescent="0.25">
      <c r="A6" t="s">
        <v>196</v>
      </c>
      <c r="B6" t="s">
        <v>192</v>
      </c>
      <c r="C6" t="s">
        <v>197</v>
      </c>
      <c r="D6" t="s">
        <v>198</v>
      </c>
      <c r="E6" t="s">
        <v>199</v>
      </c>
    </row>
    <row r="7" spans="1:5" x14ac:dyDescent="0.25">
      <c r="A7" t="s">
        <v>200</v>
      </c>
      <c r="B7" t="s">
        <v>187</v>
      </c>
      <c r="C7" t="s">
        <v>201</v>
      </c>
      <c r="D7" t="s">
        <v>202</v>
      </c>
      <c r="E7" t="s">
        <v>203</v>
      </c>
    </row>
    <row r="8" spans="1:5" x14ac:dyDescent="0.25">
      <c r="A8" t="s">
        <v>204</v>
      </c>
      <c r="B8" t="s">
        <v>187</v>
      </c>
      <c r="C8" t="s">
        <v>205</v>
      </c>
      <c r="D8" t="s">
        <v>206</v>
      </c>
      <c r="E8" t="s">
        <v>207</v>
      </c>
    </row>
    <row r="9" spans="1:5" x14ac:dyDescent="0.25">
      <c r="A9" t="s">
        <v>208</v>
      </c>
      <c r="B9" t="s">
        <v>209</v>
      </c>
      <c r="C9" t="s">
        <v>210</v>
      </c>
      <c r="D9" t="s">
        <v>211</v>
      </c>
      <c r="E9" t="s">
        <v>212</v>
      </c>
    </row>
  </sheetData>
  <mergeCells count="1">
    <mergeCell ref="A1: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 showGridLines="0" zoomScale="100" zoomScaleNormal="100">
      <selection activeCell="G13" sqref="G13"/>
    </sheetView>
  </sheetViews>
  <sheetFormatPr defaultRowHeight="14.25" outlineLevelRow="0" outlineLevelCol="0" x14ac:dyDescent="0" customHeight="1"/>
  <cols>
    <col min="1" max="1" width="17" customWidth="1"/>
    <col min="2" max="2" width="28" customWidth="1"/>
    <col min="3" max="3" width="26" customWidth="1"/>
  </cols>
  <sheetData>
    <row r="1" spans="1:3" x14ac:dyDescent="0.25">
      <c r="A1" s="3" t="s">
        <v>213</v>
      </c>
      <c r="B1" s="4"/>
      <c r="C1" s="4"/>
    </row>
    <row r="3" ht="15" customHeight="1" spans="1:3" x14ac:dyDescent="0.25">
      <c r="A3" s="5" t="s">
        <v>11</v>
      </c>
      <c r="B3" s="5" t="s">
        <v>181</v>
      </c>
      <c r="C3" s="5" t="s">
        <v>214</v>
      </c>
    </row>
    <row r="4" spans="1:3" x14ac:dyDescent="0.25">
      <c r="A4" s="7" t="s">
        <v>21</v>
      </c>
      <c r="B4" s="7" t="s">
        <v>186</v>
      </c>
      <c r="C4" s="7" t="s">
        <v>187</v>
      </c>
    </row>
    <row r="5" spans="1:3" x14ac:dyDescent="0.25">
      <c r="A5" s="7" t="s">
        <v>21</v>
      </c>
      <c r="B5" s="7" t="s">
        <v>191</v>
      </c>
      <c r="C5" s="7" t="s">
        <v>215</v>
      </c>
    </row>
    <row r="6" spans="1:3" x14ac:dyDescent="0.25">
      <c r="A6" t="s">
        <v>28</v>
      </c>
      <c r="B6" t="s">
        <v>196</v>
      </c>
      <c r="C6" t="s">
        <v>215</v>
      </c>
    </row>
    <row r="7" spans="1:3" x14ac:dyDescent="0.25">
      <c r="A7" t="s">
        <v>28</v>
      </c>
      <c r="B7" t="s">
        <v>200</v>
      </c>
      <c r="C7" t="s">
        <v>187</v>
      </c>
    </row>
    <row r="8" spans="1:3" x14ac:dyDescent="0.25">
      <c r="A8" t="s">
        <v>33</v>
      </c>
      <c r="B8" t="s">
        <v>204</v>
      </c>
      <c r="C8" t="s">
        <v>187</v>
      </c>
    </row>
    <row r="9" spans="1:3" x14ac:dyDescent="0.25">
      <c r="A9" t="s">
        <v>33</v>
      </c>
      <c r="B9" t="s">
        <v>208</v>
      </c>
      <c r="C9" t="s">
        <v>209</v>
      </c>
    </row>
    <row r="10" spans="1:3" x14ac:dyDescent="0.25">
      <c r="A10" t="s">
        <v>33</v>
      </c>
      <c r="B10" s="7" t="s">
        <v>191</v>
      </c>
      <c r="C10" s="7" t="s">
        <v>215</v>
      </c>
    </row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 showGridLines="0" zoomScale="100" zoomScaleNormal="100">
      <selection activeCell="F8" sqref="F8"/>
    </sheetView>
  </sheetViews>
  <sheetFormatPr defaultRowHeight="14.25" outlineLevelRow="0" outlineLevelCol="0" x14ac:dyDescent="0" customHeight="1"/>
  <cols>
    <col min="1" max="1" width="24" customWidth="1"/>
    <col min="2" max="2" width="16" customWidth="1"/>
    <col min="3" max="3" width="32" customWidth="1"/>
    <col min="4" max="4" width="17" customWidth="1"/>
    <col min="5" max="5" width="24" customWidth="1"/>
    <col min="6" max="6" width="18" customWidth="1"/>
    <col min="7" max="8" width="14" customWidth="1"/>
  </cols>
  <sheetData>
    <row r="1" spans="1:8" x14ac:dyDescent="0.25">
      <c r="A1" s="3" t="s">
        <v>216</v>
      </c>
      <c r="B1" s="4"/>
      <c r="C1" s="4"/>
      <c r="D1" s="4"/>
      <c r="E1" s="4"/>
      <c r="F1" s="4"/>
      <c r="G1" s="4"/>
      <c r="H1" s="4"/>
    </row>
    <row r="3" ht="15" customHeight="1" spans="1:8" x14ac:dyDescent="0.25">
      <c r="A3" s="5" t="s">
        <v>184</v>
      </c>
      <c r="B3" s="6" t="s">
        <v>217</v>
      </c>
      <c r="C3" s="5" t="s">
        <v>218</v>
      </c>
      <c r="D3" s="6" t="s">
        <v>219</v>
      </c>
      <c r="E3" s="6" t="s">
        <v>181</v>
      </c>
      <c r="F3" s="6" t="s">
        <v>220</v>
      </c>
      <c r="G3" s="6" t="s">
        <v>221</v>
      </c>
      <c r="H3" s="6" t="s">
        <v>20</v>
      </c>
    </row>
    <row r="4" spans="1:8" x14ac:dyDescent="0.25">
      <c r="A4" s="7" t="s">
        <v>222</v>
      </c>
      <c r="B4" s="7" t="s">
        <v>223</v>
      </c>
      <c r="C4" s="7" t="s">
        <v>224</v>
      </c>
      <c r="D4" s="7"/>
      <c r="E4" s="7"/>
      <c r="F4" s="7" t="s">
        <v>21</v>
      </c>
      <c r="G4" s="7"/>
      <c r="H4" s="7" t="s">
        <v>225</v>
      </c>
    </row>
    <row r="5" spans="1:8" x14ac:dyDescent="0.25">
      <c r="A5" s="7" t="s">
        <v>226</v>
      </c>
      <c r="B5" s="7" t="s">
        <v>227</v>
      </c>
      <c r="C5" s="7" t="s">
        <v>192</v>
      </c>
      <c r="D5" s="7"/>
      <c r="E5" s="7" t="s">
        <v>191</v>
      </c>
      <c r="F5" s="7" t="s">
        <v>21</v>
      </c>
      <c r="G5" s="7"/>
      <c r="H5" s="7" t="s">
        <v>225</v>
      </c>
    </row>
    <row r="6" spans="1:8" x14ac:dyDescent="0.25">
      <c r="A6" s="7" t="s">
        <v>228</v>
      </c>
      <c r="B6" s="7" t="s">
        <v>229</v>
      </c>
      <c r="C6" s="7" t="s">
        <v>230</v>
      </c>
      <c r="D6" s="7" t="s">
        <v>231</v>
      </c>
      <c r="E6" s="7"/>
      <c r="F6" s="7" t="s">
        <v>21</v>
      </c>
      <c r="G6" s="7" t="s">
        <v>232</v>
      </c>
      <c r="H6" s="7" t="s">
        <v>225</v>
      </c>
    </row>
    <row r="7" spans="1:8" x14ac:dyDescent="0.25">
      <c r="A7" t="s">
        <v>233</v>
      </c>
      <c r="B7" t="s">
        <v>234</v>
      </c>
      <c r="C7" t="s">
        <v>187</v>
      </c>
      <c r="E7" t="s">
        <v>186</v>
      </c>
      <c r="F7" s="7" t="s">
        <v>21</v>
      </c>
      <c r="H7" t="s">
        <v>225</v>
      </c>
    </row>
    <row r="8" spans="1:8" x14ac:dyDescent="0.25">
      <c r="A8" s="19" t="s">
        <v>235</v>
      </c>
      <c r="B8" t="s">
        <v>236</v>
      </c>
      <c r="C8" t="s">
        <v>237</v>
      </c>
      <c r="F8" s="18"/>
      <c r="H8" t="s">
        <v>238</v>
      </c>
    </row>
  </sheetData>
  <mergeCells count="1">
    <mergeCell ref="A1:H1"/>
  </mergeCells>
  <hyperlinks>
    <hyperlink ref="A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 showGridLines="0" zoomScale="100" zoomScaleNormal="100">
      <selection activeCell="B9" sqref="B9"/>
    </sheetView>
  </sheetViews>
  <sheetFormatPr defaultRowHeight="14.25" outlineLevelRow="0" outlineLevelCol="0" x14ac:dyDescent="0" customHeight="1"/>
  <cols>
    <col min="1" max="1" width="19" customWidth="1"/>
    <col min="2" max="2" width="15" customWidth="1"/>
    <col min="3" max="4" width="26" customWidth="1"/>
    <col min="5" max="5" width="17" customWidth="1"/>
    <col min="6" max="6" width="14" customWidth="1"/>
    <col min="7" max="7" width="17" customWidth="1"/>
  </cols>
  <sheetData>
    <row r="1" spans="1:7" x14ac:dyDescent="0.25">
      <c r="A1" s="3" t="s">
        <v>239</v>
      </c>
      <c r="B1" s="4"/>
      <c r="C1" s="4"/>
      <c r="D1" s="4"/>
      <c r="E1" s="4"/>
      <c r="F1" s="4"/>
      <c r="G1" s="4"/>
    </row>
    <row r="3" ht="15" customHeight="1" spans="1:7" x14ac:dyDescent="0.25">
      <c r="A3" s="6" t="s">
        <v>240</v>
      </c>
      <c r="B3" s="6" t="s">
        <v>77</v>
      </c>
      <c r="C3" s="6" t="s">
        <v>182</v>
      </c>
      <c r="D3" s="6" t="s">
        <v>218</v>
      </c>
      <c r="E3" s="6" t="s">
        <v>219</v>
      </c>
      <c r="F3" s="6" t="s">
        <v>241</v>
      </c>
      <c r="G3" s="6" t="s">
        <v>41</v>
      </c>
    </row>
    <row r="4" spans="1:7" x14ac:dyDescent="0.25">
      <c r="A4" s="7" t="s">
        <v>27</v>
      </c>
      <c r="B4" s="7" t="s">
        <v>88</v>
      </c>
      <c r="C4" s="7" t="s">
        <v>187</v>
      </c>
      <c r="D4" s="7" t="s">
        <v>237</v>
      </c>
      <c r="E4" s="7" t="s">
        <v>231</v>
      </c>
      <c r="F4" s="7" t="s">
        <v>45</v>
      </c>
      <c r="G4" s="7" t="s">
        <v>44</v>
      </c>
    </row>
    <row r="5" spans="1:7" x14ac:dyDescent="0.25">
      <c r="A5" s="7" t="s">
        <v>242</v>
      </c>
      <c r="B5" s="7" t="s">
        <v>243</v>
      </c>
      <c r="C5" s="7" t="s">
        <v>192</v>
      </c>
      <c r="D5" s="7" t="s">
        <v>224</v>
      </c>
      <c r="E5" s="7" t="s">
        <v>244</v>
      </c>
      <c r="F5" s="7" t="s">
        <v>89</v>
      </c>
      <c r="G5" s="7" t="s">
        <v>49</v>
      </c>
    </row>
    <row r="6" spans="1:7" x14ac:dyDescent="0.25">
      <c r="A6" s="7" t="s">
        <v>245</v>
      </c>
      <c r="B6" s="7" t="s">
        <v>246</v>
      </c>
      <c r="C6" s="7"/>
      <c r="D6" s="7" t="s">
        <v>187</v>
      </c>
      <c r="E6" s="7" t="s">
        <v>247</v>
      </c>
      <c r="F6" s="7"/>
      <c r="G6" s="7" t="s">
        <v>52</v>
      </c>
    </row>
    <row r="7" spans="1:7" x14ac:dyDescent="0.25">
      <c r="A7" s="7"/>
      <c r="B7" s="7" t="s">
        <v>248</v>
      </c>
      <c r="C7" s="7"/>
      <c r="D7" s="7" t="s">
        <v>192</v>
      </c>
      <c r="E7" s="7" t="s">
        <v>249</v>
      </c>
      <c r="F7" s="7"/>
      <c r="G7" s="7" t="s">
        <v>250</v>
      </c>
    </row>
    <row r="8" spans="1:7" x14ac:dyDescent="0.25">
      <c r="A8" s="7"/>
      <c r="B8" s="7" t="s">
        <v>251</v>
      </c>
      <c r="C8" s="7"/>
      <c r="D8" s="7" t="s">
        <v>230</v>
      </c>
      <c r="E8" s="7"/>
      <c r="F8" s="7"/>
      <c r="G8" s="7"/>
    </row>
    <row r="9" spans="2:2" x14ac:dyDescent="0.25">
      <c r="B9" s="18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Buildings</vt:lpstr>
      <vt:lpstr>Unit Types</vt:lpstr>
      <vt:lpstr>Unit Type Rooms</vt:lpstr>
      <vt:lpstr>Units</vt:lpstr>
      <vt:lpstr>Derived Unit Rooms</vt:lpstr>
      <vt:lpstr>Communal Areas</vt:lpstr>
      <vt:lpstr>Organisations</vt:lpstr>
      <vt:lpstr>Building Organisations</vt:lpstr>
      <vt:lpstr>Users Access</vt:lpstr>
      <vt:lpstr>Reference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Carl Gilbert</cp:lastModifiedBy>
  <dcterms:created xsi:type="dcterms:W3CDTF">2026-08-04T08:04:26Z</dcterms:created>
  <dcterms:modified xsi:type="dcterms:W3CDTF">2026-08-04T08:02:22Z</dcterms:modified>
</cp:coreProperties>
</file>